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3210" firstSheet="10" activeTab="13"/>
  </bookViews>
  <sheets>
    <sheet name="目录" sheetId="1" r:id="rId1"/>
    <sheet name="住房公积金资金使用预算总表" sheetId="2" r:id="rId2"/>
    <sheet name="住房公积金资金使用预算附表" sheetId="3" r:id="rId3"/>
    <sheet name="住房公积金业务收支预算总表" sheetId="4" r:id="rId4"/>
    <sheet name="住房公积金业务收支预算附表" sheetId="5" r:id="rId5"/>
    <sheet name="住房公积金资金使用预算执行情况表" sheetId="6" r:id="rId6"/>
    <sheet name="住房公积金业务收支预算执行情况表" sheetId="7" r:id="rId7"/>
    <sheet name="住房公积金扩面工作完成情况表" sheetId="8" r:id="rId8"/>
    <sheet name="住房公积金归集使用决算总表" sheetId="9" r:id="rId9"/>
    <sheet name="住房公积金归集使用决算附表" sheetId="10" r:id="rId10"/>
    <sheet name="住房公积金业务收支决算总表" sheetId="11" r:id="rId11"/>
    <sheet name="住房公积金业务收支决算附表" sheetId="12" r:id="rId12"/>
    <sheet name="住房公积金增值收益分配情况总表" sheetId="13" r:id="rId13"/>
    <sheet name="住房公积金增值收益分配情附表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<sst xmlns="http://schemas.openxmlformats.org/spreadsheetml/2006/main" count="804" uniqueCount="233">
  <si>
    <t>嘉兴智慧公积金服务中心综合服务系统建设项目</t>
  </si>
  <si>
    <t>住房公积金归集使用情况目录</t>
  </si>
  <si>
    <t>序号</t>
  </si>
  <si>
    <t>工作表名</t>
  </si>
  <si>
    <t>链接工作表</t>
  </si>
  <si>
    <t>备注</t>
  </si>
  <si>
    <t>2025年度嘉兴市住房公积金归集使用预算表</t>
  </si>
  <si>
    <t>编制单位：嘉兴市住房公积金管理服务中心（全市）                                                                                              单 位：万元以下两位      编号：JXCW00001</t>
  </si>
  <si>
    <t>项目</t>
  </si>
  <si>
    <t>行次</t>
  </si>
  <si>
    <t>上年预算数</t>
  </si>
  <si>
    <t>上年实绩数</t>
  </si>
  <si>
    <t>本年预算数</t>
  </si>
  <si>
    <t>为上年实绩％</t>
  </si>
  <si>
    <t>归集提取</t>
  </si>
  <si>
    <t>年初余额</t>
  </si>
  <si>
    <t>取同表2024年度本年预算数1</t>
  </si>
  <si>
    <t>取2024年决算表中本年实绩数1</t>
  </si>
  <si>
    <t>本表中年末余额对应的上年实绩数4</t>
  </si>
  <si>
    <t>-</t>
  </si>
  <si>
    <t>当年归集数</t>
  </si>
  <si>
    <t>取同表2024年度本年预算数2</t>
  </si>
  <si>
    <t>取2024年决算表中本年实绩数2</t>
  </si>
  <si>
    <t>在3月份时手工填</t>
  </si>
  <si>
    <t>本年预算数/上年实绩数</t>
  </si>
  <si>
    <t>当年提取数</t>
  </si>
  <si>
    <t>取同表2024年度本年预算数3</t>
  </si>
  <si>
    <t>取2024年决算表中本年实绩数3</t>
  </si>
  <si>
    <t>年末余额</t>
  </si>
  <si>
    <t>1+2-3</t>
  </si>
  <si>
    <t>个人贷款</t>
  </si>
  <si>
    <t>取同表2024年度本年预算数5</t>
  </si>
  <si>
    <t>取2024年决算表中本年实绩数5</t>
  </si>
  <si>
    <t>本表中年末余额对应的上年实绩数9</t>
  </si>
  <si>
    <t>当年发放数</t>
  </si>
  <si>
    <t>取同表2024年度本年预算数6</t>
  </si>
  <si>
    <t>取2024年决算表中本年实绩数6</t>
  </si>
  <si>
    <t>当年收回数</t>
  </si>
  <si>
    <t>取同表2024年度本年预算数7</t>
  </si>
  <si>
    <t>取2024年决算表中本年实绩数7</t>
  </si>
  <si>
    <t>当年“公转商”贷款转出</t>
  </si>
  <si>
    <t>取同表2024年度本年预算数8</t>
  </si>
  <si>
    <t>取2024年决算表中本年实绩数8</t>
  </si>
  <si>
    <t>5+6-7-8</t>
  </si>
  <si>
    <t>个人贷款余额占归集余额比(％)</t>
  </si>
  <si>
    <t>个贷年末余额9/归提年末余额4</t>
  </si>
  <si>
    <t>国债投资</t>
  </si>
  <si>
    <t>当年增加数</t>
  </si>
  <si>
    <t>当年回收数</t>
  </si>
  <si>
    <t>国债投资余额占归集余额比(％)</t>
  </si>
  <si>
    <r>
      <t>说明：
1.每年3月份编制本年预算表，然后上管委会审议；（</t>
    </r>
    <r>
      <rPr>
        <sz val="11"/>
        <color rgb="FFFF0000"/>
        <rFont val="宋体"/>
        <charset val="134"/>
        <scheme val="minor"/>
      </rPr>
      <t>审批后，还是审批前，上管委会后有意见是否还修改</t>
    </r>
    <r>
      <rPr>
        <sz val="11"/>
        <color theme="1"/>
        <rFont val="宋体"/>
        <charset val="134"/>
        <scheme val="minor"/>
      </rPr>
      <t>）
2.该表经审议完成后，不再修改；
3.- 表示非填单元格；
4.余额不算比例。</t>
    </r>
  </si>
  <si>
    <t>2025年度嘉兴市住房公积金归集使用预算表（附表）</t>
  </si>
  <si>
    <t>编制单位：嘉兴市住房公积金管理服务中心（全市）                                                                                                  单位：万元以下两位</t>
  </si>
  <si>
    <t>全市</t>
  </si>
  <si>
    <t>市本级</t>
  </si>
  <si>
    <t>嘉善县</t>
  </si>
  <si>
    <t>平湖市</t>
  </si>
  <si>
    <t>海盐县</t>
  </si>
  <si>
    <t>海宁市</t>
  </si>
  <si>
    <t>桐乡市</t>
  </si>
  <si>
    <t>水平各市之和</t>
  </si>
  <si>
    <t>2024年年末余额对应的上年实绩数</t>
  </si>
  <si>
    <t>初始化一年</t>
  </si>
  <si>
    <t>当年统筹调剂资金</t>
  </si>
  <si>
    <t>1+2-3+4</t>
  </si>
  <si>
    <t>6+7-8-9</t>
  </si>
  <si>
    <t>个贷年末余额/归提年末余额</t>
  </si>
  <si>
    <t>2025年度嘉兴市住房公积金业务收支预算表</t>
  </si>
  <si>
    <t>3/4</t>
  </si>
  <si>
    <t>编制单位：嘉兴市住房公积金管理服务中心（全市）                                                                            单位：万元以下两位</t>
  </si>
  <si>
    <t>项                 目</t>
  </si>
  <si>
    <t>一、业务收入</t>
  </si>
  <si>
    <t>2+3+4+5+6</t>
  </si>
  <si>
    <t>1、住房公积金利息收入</t>
  </si>
  <si>
    <t>2、增值收益利息收入</t>
  </si>
  <si>
    <t>3、委托贷款利息收入</t>
  </si>
  <si>
    <t>取同表2024年度本年预算数4</t>
  </si>
  <si>
    <t>取2024年决算表中本年实绩数4</t>
  </si>
  <si>
    <t>4、国债投资收入</t>
  </si>
  <si>
    <t>5、其他收入</t>
  </si>
  <si>
    <t>二、业务支出</t>
  </si>
  <si>
    <t>8+9+10+11</t>
  </si>
  <si>
    <t>1、住房公积金利息支出</t>
  </si>
  <si>
    <t>2、住房公积金归集手续费支出</t>
  </si>
  <si>
    <t>取同表2024年度本年预算数9</t>
  </si>
  <si>
    <t>取2024年决算表中本年实绩数9</t>
  </si>
  <si>
    <t>3、委托贷款手续费支出</t>
  </si>
  <si>
    <t>取同表2024年度本年预算数10</t>
  </si>
  <si>
    <t>取2024年决算表中本年实绩数10</t>
  </si>
  <si>
    <t>4、其他支出</t>
  </si>
  <si>
    <t>取同表2024年度本年预算数11</t>
  </si>
  <si>
    <t>取2024年决算表中本年实绩数11</t>
  </si>
  <si>
    <t>三、增值收益</t>
  </si>
  <si>
    <t>1-7</t>
  </si>
  <si>
    <t>2025年度嘉兴市住房公积金业务收支预算表（附表）</t>
  </si>
  <si>
    <t>4/4</t>
  </si>
  <si>
    <t>水平求和</t>
  </si>
  <si>
    <t>手工填入</t>
  </si>
  <si>
    <t>——</t>
  </si>
  <si>
    <t>嘉兴市住房公积金归集使用预算执行情况表</t>
  </si>
  <si>
    <t>编制单位:嘉兴市住房公积金管理服务中心（全市）</t>
  </si>
  <si>
    <t>2025年10月</t>
  </si>
  <si>
    <t>单位:万元以下两位</t>
  </si>
  <si>
    <t>上年末余额</t>
  </si>
  <si>
    <t>水平之和</t>
  </si>
  <si>
    <t>取决算年末余额</t>
  </si>
  <si>
    <t>本年归集预算数</t>
  </si>
  <si>
    <t>取本年预算数</t>
  </si>
  <si>
    <t>本年归集实绩数</t>
  </si>
  <si>
    <t>201贷方科目</t>
  </si>
  <si>
    <t>归集完成预算数（%）</t>
  </si>
  <si>
    <t>实绩数/预算数</t>
  </si>
  <si>
    <t>上年归集同期数</t>
  </si>
  <si>
    <t>上年同期对应实绩数</t>
  </si>
  <si>
    <t>归集同比增长（%）</t>
  </si>
  <si>
    <t>（本年/上年-1）</t>
  </si>
  <si>
    <t>本年提取预算数</t>
  </si>
  <si>
    <t>本年提取实绩数</t>
  </si>
  <si>
    <t>201借方科目</t>
  </si>
  <si>
    <t>提取完成预算数（%）</t>
  </si>
  <si>
    <t>上年提取同期数</t>
  </si>
  <si>
    <t>提取同比增长（%）</t>
  </si>
  <si>
    <t>手工填</t>
  </si>
  <si>
    <t>期末余额</t>
  </si>
  <si>
    <t>上年末+归集-提取+统筹</t>
  </si>
  <si>
    <t>本年发放预算数</t>
  </si>
  <si>
    <t>本年发放实绩数</t>
  </si>
  <si>
    <t>121科目</t>
  </si>
  <si>
    <t>发放完成预算数（%）</t>
  </si>
  <si>
    <t>上年发放同期数</t>
  </si>
  <si>
    <t>发放同比增长（%）</t>
  </si>
  <si>
    <t>本年收回预算数</t>
  </si>
  <si>
    <t>本年收回实绩数</t>
  </si>
  <si>
    <t>121贷+122贷-122借-公转商转出</t>
  </si>
  <si>
    <t>收回完成预算数（%）</t>
  </si>
  <si>
    <t>上年收回同期数</t>
  </si>
  <si>
    <t>收回同比增长（%）</t>
  </si>
  <si>
    <t>手工填，+/-</t>
  </si>
  <si>
    <t xml:space="preserve">上年末+发放-回收-公转商转出 </t>
  </si>
  <si>
    <t>逾期贷款</t>
  </si>
  <si>
    <t>3-5逾期本金，大于等于6期为余额</t>
  </si>
  <si>
    <t>逾期贷款率</t>
  </si>
  <si>
    <t>逾期/期末余额</t>
  </si>
  <si>
    <t>个人贷款余额占归集余额比(%)</t>
  </si>
  <si>
    <t>单位负责人：</t>
  </si>
  <si>
    <t>会计主管:</t>
  </si>
  <si>
    <t>制表人:</t>
  </si>
  <si>
    <t>说明：
1.手工与自动抽取混合模式；
2.次月填报
3.由市中心统一制表
4.提交后，不再修改。</t>
  </si>
  <si>
    <t>嘉兴市住房公积金业务收支预算执行情况表</t>
  </si>
  <si>
    <t>编制单位:</t>
  </si>
  <si>
    <t>嘉兴市住房公积金管理服务中心（全市）</t>
  </si>
  <si>
    <t>单位：万元以下两位</t>
  </si>
  <si>
    <t xml:space="preserve">市本级		</t>
  </si>
  <si>
    <t>收    入</t>
  </si>
  <si>
    <t>1--2月空值</t>
  </si>
  <si>
    <t>3月预算数</t>
  </si>
  <si>
    <t>本年实绩数</t>
  </si>
  <si>
    <t>401收入</t>
  </si>
  <si>
    <t>为本年预算数%</t>
  </si>
  <si>
    <t>上年同期数</t>
  </si>
  <si>
    <t>同比增长%</t>
  </si>
  <si>
    <t>支    出</t>
  </si>
  <si>
    <t>411支出</t>
  </si>
  <si>
    <t>增        值        收    益</t>
  </si>
  <si>
    <t>收入-支出</t>
  </si>
  <si>
    <t>同表实际数</t>
  </si>
  <si>
    <t>单位负责人:</t>
  </si>
  <si>
    <t>会计主管：</t>
  </si>
  <si>
    <t>制表人：</t>
  </si>
  <si>
    <t>嘉兴市住房公积金扩面工作完成情况表</t>
  </si>
  <si>
    <t>截止日期：2025年10月31日</t>
  </si>
  <si>
    <t>指标</t>
  </si>
  <si>
    <t>单位</t>
  </si>
  <si>
    <t>本年实缴</t>
  </si>
  <si>
    <t>人</t>
  </si>
  <si>
    <t>上年实缴</t>
  </si>
  <si>
    <t>同表上年本年实缴</t>
  </si>
  <si>
    <t>本年净增</t>
  </si>
  <si>
    <t>1-2</t>
  </si>
  <si>
    <t>净增长率</t>
  </si>
  <si>
    <t>%</t>
  </si>
  <si>
    <t>3/2</t>
  </si>
  <si>
    <t>目标任务</t>
  </si>
  <si>
    <t>1月、2月为空值；3月手工填；维持12月底数据</t>
  </si>
  <si>
    <t>完成率</t>
  </si>
  <si>
    <t xml:space="preserve">1/5；1月2月没有值 </t>
  </si>
  <si>
    <t>单位负责人:主任</t>
  </si>
  <si>
    <t>市本级处长</t>
  </si>
  <si>
    <t>制表人：操作员</t>
  </si>
  <si>
    <t>表尾：单位负责人:取值 柳国彪  会计主管：郭琛  /1、2月是否编制此表。</t>
  </si>
  <si>
    <t>2024年度嘉兴市住房公积金归集使用决算表</t>
  </si>
  <si>
    <t xml:space="preserve">编制单位：嘉兴市住房公积金管理服务中心（全市）           </t>
  </si>
  <si>
    <t>预算完成率</t>
  </si>
  <si>
    <t>比上年同期增长</t>
  </si>
  <si>
    <t>取2023年对应用数</t>
  </si>
  <si>
    <t>取预算表：本年预算数</t>
  </si>
  <si>
    <t>取预算表：本年实绩数</t>
  </si>
  <si>
    <t>12月执行中实归集数</t>
  </si>
  <si>
    <t>本实/上年同期-1</t>
  </si>
  <si>
    <t>年初+当归-当提</t>
  </si>
  <si>
    <t>取上年同期数期末余额9</t>
  </si>
  <si>
    <t>12月实际数</t>
  </si>
  <si>
    <t>同上</t>
  </si>
  <si>
    <t>年初+发-回-公转商转出</t>
  </si>
  <si>
    <t>贷余/归余</t>
  </si>
  <si>
    <t>说明：
1.涉及余额部分，不算比率；
2.次年1月制作上年决算表；</t>
  </si>
  <si>
    <t>2024年度嘉兴市住房公积金归集使用决算表（附表）</t>
  </si>
  <si>
    <t>编制单位：嘉兴市住房公积金管理服务中心（全市）</t>
  </si>
  <si>
    <t>填预算数</t>
  </si>
  <si>
    <t>执行情况表</t>
  </si>
  <si>
    <t>年初+归-提+调</t>
  </si>
  <si>
    <t>预算数</t>
  </si>
  <si>
    <t>2024年度嘉兴市住房公积金业务收支决算表</t>
  </si>
  <si>
    <t>2024年度嘉兴市住房公积金业务收支决算表（附表）</t>
  </si>
  <si>
    <t>2024年度嘉兴市住房公积金增值收益分配情况表</t>
  </si>
  <si>
    <t xml:space="preserve">编制单位:嘉兴市住房公积金管理服务中心(全市)         </t>
  </si>
  <si>
    <t>同比增长</t>
  </si>
  <si>
    <t>待分配增值收益</t>
  </si>
  <si>
    <t>1、贷款风险准备金</t>
  </si>
  <si>
    <t>当年分配</t>
  </si>
  <si>
    <t>当年支出</t>
  </si>
  <si>
    <t>2、管理费用</t>
  </si>
  <si>
    <t>3、城市廉租住房补充资金</t>
  </si>
  <si>
    <t>当年上缴</t>
  </si>
  <si>
    <t>2024年度嘉兴市住房公积金增值收益分配情况表（附表）</t>
  </si>
  <si>
    <t>项     目</t>
  </si>
  <si>
    <t>实绩数</t>
  </si>
  <si>
    <t>嘉善</t>
  </si>
  <si>
    <t>平湖</t>
  </si>
  <si>
    <t>海盐</t>
  </si>
  <si>
    <t>海宁</t>
  </si>
  <si>
    <t>桐乡</t>
  </si>
  <si>
    <t>科目明确一下/上缴市中心分开上缴:建议线上上缴模式，堵点/往来账户信息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</si>
</sst>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"/>
    <numFmt numFmtId="177" formatCode="#,##0.00%"/>
    <numFmt numFmtId="178" formatCode="0.00_ "/>
    <numFmt numFmtId="179" formatCode="_(* #,##0.00_);_(* \(#,##0.00\);_(* &quot;-&quot;??_);_(@_)"/>
    <numFmt numFmtId="180" formatCode="#,##0.00_ "/>
    <numFmt numFmtId="181" formatCode="0.0000%"/>
    <numFmt numFmtId="182" formatCode="_ \¥* #,##0.00_ ;_ \¥* \-#,##0.00_ ;_ \¥* &quot;-&quot;??_ ;_ @_ "/>
  </numFmts>
  <fonts count="49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22"/>
      <color rgb="FF000000"/>
      <name val="宋体"/>
      <charset val="134"/>
    </font>
    <font>
      <b/>
      <sz val="22"/>
      <color indexed="8"/>
      <name val="宋体"/>
      <charset val="134"/>
    </font>
    <font>
      <sz val="11"/>
      <color indexed="8"/>
      <name val="宋体"/>
      <charset val="134"/>
    </font>
    <font>
      <b/>
      <sz val="12"/>
      <color indexed="8"/>
      <name val="仿宋_GB2312"/>
      <charset val="134"/>
    </font>
    <font>
      <sz val="12"/>
      <color indexed="8"/>
      <name val="仿宋_GB2312"/>
      <charset val="134"/>
    </font>
    <font>
      <sz val="12"/>
      <name val="仿宋_GB2312"/>
      <charset val="134"/>
    </font>
    <font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indexed="8"/>
      <name val="宋体"/>
      <charset val="134"/>
    </font>
    <font>
      <sz val="14"/>
      <color indexed="8"/>
      <name val="宋体"/>
      <charset val="134"/>
    </font>
    <font>
      <sz val="14"/>
      <name val="宋体"/>
      <charset val="134"/>
    </font>
    <font>
      <b/>
      <sz val="22"/>
      <color rgb="FF000000"/>
      <name val="仿宋_GB2312"/>
      <charset val="134"/>
    </font>
    <font>
      <b/>
      <sz val="22"/>
      <color indexed="8"/>
      <name val="仿宋_GB2312"/>
      <charset val="134"/>
    </font>
    <font>
      <sz val="11"/>
      <color indexed="8"/>
      <name val="仿宋_GB2312"/>
      <charset val="134"/>
    </font>
    <font>
      <sz val="12"/>
      <color indexed="8"/>
      <name val="黑体"/>
      <charset val="134"/>
    </font>
    <font>
      <u/>
      <sz val="11"/>
      <color rgb="FF0000FF"/>
      <name val="宋体"/>
      <charset val="0"/>
      <scheme val="minor"/>
    </font>
    <font>
      <b/>
      <sz val="22"/>
      <name val="仿宋_GB2312"/>
      <charset val="134"/>
    </font>
    <font>
      <sz val="11"/>
      <name val="仿宋_GB2312"/>
      <charset val="134"/>
    </font>
    <font>
      <sz val="12"/>
      <color rgb="FFFF0000"/>
      <name val="仿宋_GB2312"/>
      <charset val="134"/>
    </font>
    <font>
      <sz val="12"/>
      <name val="宋体"/>
      <charset val="134"/>
    </font>
    <font>
      <b/>
      <sz val="18"/>
      <color indexed="8"/>
      <name val="宋体"/>
      <charset val="134"/>
    </font>
    <font>
      <sz val="12"/>
      <color indexed="8"/>
      <name val="宋体"/>
      <charset val="134"/>
    </font>
    <font>
      <sz val="22"/>
      <color indexed="8"/>
      <name val="宋体"/>
      <charset val="134"/>
    </font>
    <font>
      <sz val="12"/>
      <color indexed="17"/>
      <name val="宋体"/>
      <charset val="134"/>
    </font>
    <font>
      <sz val="12"/>
      <color indexed="15"/>
      <name val="宋体"/>
      <charset val="134"/>
    </font>
    <font>
      <sz val="12"/>
      <color indexed="11"/>
      <name val="宋体"/>
      <charset val="134"/>
    </font>
    <font>
      <sz val="11"/>
      <name val="宋体"/>
      <charset val="134"/>
    </font>
    <font>
      <sz val="10"/>
      <color theme="9" tint="-0.25"/>
      <name val="仿宋_GB2312"/>
      <charset val="134"/>
    </font>
    <font>
      <b/>
      <sz val="14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medium">
        <color indexed="8"/>
      </left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medium">
        <color auto="1"/>
      </bottom>
      <diagonal/>
    </border>
    <border>
      <left style="medium">
        <color indexed="8"/>
      </left>
      <right/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6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62" applyNumberFormat="0" applyFill="0" applyAlignment="0" applyProtection="0">
      <alignment vertical="center"/>
    </xf>
    <xf numFmtId="0" fontId="35" fillId="0" borderId="62" applyNumberFormat="0" applyFill="0" applyAlignment="0" applyProtection="0">
      <alignment vertical="center"/>
    </xf>
    <xf numFmtId="0" fontId="36" fillId="0" borderId="6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" borderId="64" applyNumberFormat="0" applyAlignment="0" applyProtection="0">
      <alignment vertical="center"/>
    </xf>
    <xf numFmtId="0" fontId="38" fillId="5" borderId="65" applyNumberFormat="0" applyAlignment="0" applyProtection="0">
      <alignment vertical="center"/>
    </xf>
    <xf numFmtId="0" fontId="39" fillId="5" borderId="64" applyNumberFormat="0" applyAlignment="0" applyProtection="0">
      <alignment vertical="center"/>
    </xf>
    <xf numFmtId="0" fontId="40" fillId="6" borderId="66" applyNumberFormat="0" applyAlignment="0" applyProtection="0">
      <alignment vertical="center"/>
    </xf>
    <xf numFmtId="0" fontId="41" fillId="0" borderId="67" applyNumberFormat="0" applyFill="0" applyAlignment="0" applyProtection="0">
      <alignment vertical="center"/>
    </xf>
    <xf numFmtId="0" fontId="42" fillId="0" borderId="68" applyNumberFormat="0" applyFill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21" fillId="0" borderId="0"/>
    <xf numFmtId="0" fontId="21" fillId="0" borderId="0"/>
  </cellStyleXfs>
  <cellXfs count="27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6" applyFont="1">
      <alignment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right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center" vertical="center"/>
    </xf>
    <xf numFmtId="176" fontId="7" fillId="2" borderId="11" xfId="0" applyNumberFormat="1" applyFont="1" applyFill="1" applyBorder="1" applyAlignment="1">
      <alignment horizontal="center" vertical="center"/>
    </xf>
    <xf numFmtId="43" fontId="6" fillId="2" borderId="6" xfId="1" applyFont="1" applyFill="1" applyBorder="1" applyAlignment="1">
      <alignment horizontal="right" vertical="center"/>
    </xf>
    <xf numFmtId="49" fontId="6" fillId="2" borderId="9" xfId="0" applyNumberFormat="1" applyFont="1" applyFill="1" applyBorder="1" applyAlignment="1">
      <alignment horizontal="left" vertical="center"/>
    </xf>
    <xf numFmtId="49" fontId="6" fillId="2" borderId="10" xfId="0" applyNumberFormat="1" applyFont="1" applyFill="1" applyBorder="1" applyAlignment="1">
      <alignment horizontal="left" vertical="center"/>
    </xf>
    <xf numFmtId="176" fontId="7" fillId="2" borderId="12" xfId="0" applyNumberFormat="1" applyFont="1" applyFill="1" applyBorder="1" applyAlignment="1">
      <alignment horizontal="center" vertical="center"/>
    </xf>
    <xf numFmtId="43" fontId="7" fillId="2" borderId="6" xfId="1" applyFont="1" applyFill="1" applyBorder="1" applyAlignment="1">
      <alignment horizontal="right" vertical="center"/>
    </xf>
    <xf numFmtId="49" fontId="6" fillId="2" borderId="13" xfId="0" applyNumberFormat="1" applyFont="1" applyFill="1" applyBorder="1" applyAlignment="1">
      <alignment horizontal="left" vertical="center"/>
    </xf>
    <xf numFmtId="49" fontId="6" fillId="2" borderId="14" xfId="0" applyNumberFormat="1" applyFont="1" applyFill="1" applyBorder="1" applyAlignment="1">
      <alignment horizontal="left" vertical="center"/>
    </xf>
    <xf numFmtId="176" fontId="7" fillId="2" borderId="15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4" fillId="2" borderId="16" xfId="0" applyNumberFormat="1" applyFont="1" applyFill="1" applyBorder="1" applyAlignment="1">
      <alignment horizontal="left" vertical="center"/>
    </xf>
    <xf numFmtId="49" fontId="10" fillId="2" borderId="5" xfId="0" applyNumberFormat="1" applyFont="1" applyFill="1" applyBorder="1" applyAlignment="1">
      <alignment horizontal="center" vertical="center"/>
    </xf>
    <xf numFmtId="49" fontId="10" fillId="2" borderId="17" xfId="0" applyNumberFormat="1" applyFont="1" applyFill="1" applyBorder="1" applyAlignment="1">
      <alignment horizontal="center" vertical="center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6" xfId="0" applyNumberFormat="1" applyFont="1" applyFill="1" applyBorder="1" applyAlignment="1">
      <alignment horizontal="center" vertical="center"/>
    </xf>
    <xf numFmtId="49" fontId="11" fillId="2" borderId="19" xfId="0" applyNumberFormat="1" applyFont="1" applyFill="1" applyBorder="1" applyAlignment="1">
      <alignment horizontal="center" vertical="center"/>
    </xf>
    <xf numFmtId="176" fontId="12" fillId="2" borderId="19" xfId="0" applyNumberFormat="1" applyFont="1" applyFill="1" applyBorder="1" applyAlignment="1">
      <alignment horizontal="center" vertical="center"/>
    </xf>
    <xf numFmtId="4" fontId="12" fillId="2" borderId="19" xfId="0" applyNumberFormat="1" applyFont="1" applyFill="1" applyBorder="1" applyAlignment="1">
      <alignment horizontal="right" vertical="center"/>
    </xf>
    <xf numFmtId="177" fontId="11" fillId="2" borderId="19" xfId="0" applyNumberFormat="1" applyFont="1" applyFill="1" applyBorder="1" applyAlignment="1">
      <alignment horizontal="right" vertical="center"/>
    </xf>
    <xf numFmtId="49" fontId="11" fillId="2" borderId="10" xfId="0" applyNumberFormat="1" applyFont="1" applyFill="1" applyBorder="1" applyAlignment="1">
      <alignment horizontal="left" vertical="center"/>
    </xf>
    <xf numFmtId="176" fontId="12" fillId="2" borderId="10" xfId="0" applyNumberFormat="1" applyFont="1" applyFill="1" applyBorder="1" applyAlignment="1">
      <alignment horizontal="center" vertical="center"/>
    </xf>
    <xf numFmtId="4" fontId="12" fillId="2" borderId="10" xfId="0" applyNumberFormat="1" applyFont="1" applyFill="1" applyBorder="1" applyAlignment="1">
      <alignment horizontal="right" vertical="center"/>
    </xf>
    <xf numFmtId="178" fontId="11" fillId="2" borderId="20" xfId="0" applyNumberFormat="1" applyFont="1" applyFill="1" applyBorder="1" applyAlignment="1">
      <alignment horizontal="right" vertical="center"/>
    </xf>
    <xf numFmtId="178" fontId="12" fillId="2" borderId="10" xfId="0" applyNumberFormat="1" applyFont="1" applyFill="1" applyBorder="1" applyAlignment="1">
      <alignment horizontal="right" vertical="center"/>
    </xf>
    <xf numFmtId="43" fontId="11" fillId="2" borderId="20" xfId="0" applyNumberFormat="1" applyFont="1" applyFill="1" applyBorder="1" applyAlignment="1">
      <alignment horizontal="right" vertical="center"/>
    </xf>
    <xf numFmtId="177" fontId="11" fillId="2" borderId="10" xfId="0" applyNumberFormat="1" applyFont="1" applyFill="1" applyBorder="1" applyAlignment="1">
      <alignment horizontal="right" vertical="center"/>
    </xf>
    <xf numFmtId="4" fontId="11" fillId="2" borderId="10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44" fontId="15" fillId="0" borderId="0" xfId="0" applyNumberFormat="1" applyFont="1" applyFill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5" fillId="0" borderId="21" xfId="0" applyFont="1" applyFill="1" applyBorder="1" applyAlignment="1">
      <alignment horizontal="right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44" fontId="6" fillId="0" borderId="23" xfId="0" applyNumberFormat="1" applyFont="1" applyFill="1" applyBorder="1" applyAlignment="1">
      <alignment horizontal="center" vertical="center"/>
    </xf>
    <xf numFmtId="44" fontId="6" fillId="0" borderId="24" xfId="0" applyNumberFormat="1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16" fillId="0" borderId="2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right" vertical="center"/>
    </xf>
    <xf numFmtId="43" fontId="6" fillId="0" borderId="26" xfId="1" applyFont="1" applyFill="1" applyBorder="1" applyAlignment="1">
      <alignment horizontal="right" vertical="center"/>
    </xf>
    <xf numFmtId="0" fontId="6" fillId="0" borderId="2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43" fontId="7" fillId="0" borderId="6" xfId="1" applyFont="1" applyBorder="1" applyAlignment="1">
      <alignment horizontal="right" vertical="center"/>
    </xf>
    <xf numFmtId="43" fontId="7" fillId="0" borderId="26" xfId="1" applyFont="1" applyBorder="1" applyAlignment="1">
      <alignment horizontal="right" vertical="center"/>
    </xf>
    <xf numFmtId="0" fontId="16" fillId="0" borderId="27" xfId="0" applyFont="1" applyFill="1" applyBorder="1" applyAlignment="1">
      <alignment horizontal="left" vertical="center"/>
    </xf>
    <xf numFmtId="0" fontId="16" fillId="0" borderId="28" xfId="0" applyFont="1" applyFill="1" applyBorder="1" applyAlignment="1">
      <alignment horizontal="left" vertical="center"/>
    </xf>
    <xf numFmtId="0" fontId="6" fillId="0" borderId="28" xfId="0" applyFont="1" applyFill="1" applyBorder="1" applyAlignment="1">
      <alignment horizontal="center" vertical="center"/>
    </xf>
    <xf numFmtId="43" fontId="6" fillId="0" borderId="28" xfId="1" applyFont="1" applyFill="1" applyBorder="1" applyAlignment="1">
      <alignment horizontal="right" vertical="center"/>
    </xf>
    <xf numFmtId="43" fontId="6" fillId="0" borderId="29" xfId="1" applyFont="1" applyFill="1" applyBorder="1" applyAlignment="1">
      <alignment horizontal="right" vertical="center"/>
    </xf>
    <xf numFmtId="44" fontId="15" fillId="0" borderId="21" xfId="0" applyNumberFormat="1" applyFont="1" applyFill="1" applyBorder="1" applyAlignment="1">
      <alignment horizontal="left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16" fillId="0" borderId="36" xfId="0" applyFont="1" applyFill="1" applyBorder="1" applyAlignment="1">
      <alignment horizontal="left" vertical="center"/>
    </xf>
    <xf numFmtId="0" fontId="16" fillId="0" borderId="37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center" vertical="center"/>
    </xf>
    <xf numFmtId="43" fontId="6" fillId="0" borderId="38" xfId="1" applyFont="1" applyFill="1" applyBorder="1" applyAlignment="1">
      <alignment horizontal="right" vertical="center"/>
    </xf>
    <xf numFmtId="10" fontId="6" fillId="0" borderId="39" xfId="0" applyNumberFormat="1" applyFont="1" applyFill="1" applyBorder="1" applyAlignment="1">
      <alignment vertical="center"/>
    </xf>
    <xf numFmtId="0" fontId="6" fillId="0" borderId="36" xfId="0" applyFont="1" applyFill="1" applyBorder="1" applyAlignment="1">
      <alignment horizontal="left" vertical="center"/>
    </xf>
    <xf numFmtId="0" fontId="6" fillId="0" borderId="37" xfId="0" applyFont="1" applyFill="1" applyBorder="1" applyAlignment="1">
      <alignment horizontal="left" vertical="center"/>
    </xf>
    <xf numFmtId="43" fontId="6" fillId="0" borderId="6" xfId="1" applyFont="1" applyBorder="1" applyAlignment="1">
      <alignment horizontal="right" vertical="center" wrapText="1"/>
    </xf>
    <xf numFmtId="43" fontId="6" fillId="0" borderId="40" xfId="1" applyFont="1" applyFill="1" applyBorder="1" applyAlignment="1">
      <alignment horizontal="right" vertical="center"/>
    </xf>
    <xf numFmtId="43" fontId="6" fillId="0" borderId="10" xfId="1" applyFont="1" applyFill="1" applyBorder="1" applyAlignment="1">
      <alignment horizontal="right" vertical="center"/>
    </xf>
    <xf numFmtId="10" fontId="6" fillId="0" borderId="12" xfId="0" applyNumberFormat="1" applyFont="1" applyFill="1" applyBorder="1" applyAlignment="1">
      <alignment horizontal="right" vertical="center"/>
    </xf>
    <xf numFmtId="43" fontId="6" fillId="0" borderId="38" xfId="1" applyFont="1" applyBorder="1" applyAlignment="1">
      <alignment horizontal="right" vertical="center" wrapText="1"/>
    </xf>
    <xf numFmtId="43" fontId="6" fillId="0" borderId="41" xfId="1" applyFont="1" applyFill="1" applyBorder="1" applyAlignment="1">
      <alignment horizontal="right" vertical="center"/>
    </xf>
    <xf numFmtId="43" fontId="6" fillId="0" borderId="42" xfId="1" applyFont="1" applyFill="1" applyBorder="1" applyAlignment="1">
      <alignment horizontal="right" vertical="center"/>
    </xf>
    <xf numFmtId="10" fontId="6" fillId="0" borderId="43" xfId="0" applyNumberFormat="1" applyFont="1" applyFill="1" applyBorder="1" applyAlignment="1">
      <alignment horizontal="right" vertical="center"/>
    </xf>
    <xf numFmtId="10" fontId="6" fillId="0" borderId="6" xfId="0" applyNumberFormat="1" applyFont="1" applyFill="1" applyBorder="1" applyAlignment="1">
      <alignment horizontal="right" vertical="center"/>
    </xf>
    <xf numFmtId="10" fontId="6" fillId="0" borderId="44" xfId="0" applyNumberFormat="1" applyFont="1" applyFill="1" applyBorder="1" applyAlignment="1">
      <alignment vertical="center"/>
    </xf>
    <xf numFmtId="43" fontId="6" fillId="0" borderId="6" xfId="0" applyNumberFormat="1" applyFont="1" applyFill="1" applyBorder="1" applyAlignment="1">
      <alignment horizontal="right" vertical="center"/>
    </xf>
    <xf numFmtId="43" fontId="6" fillId="0" borderId="44" xfId="0" applyNumberFormat="1" applyFont="1" applyFill="1" applyBorder="1" applyAlignment="1">
      <alignment horizontal="right" vertical="center"/>
    </xf>
    <xf numFmtId="43" fontId="6" fillId="0" borderId="45" xfId="1" applyFont="1" applyBorder="1" applyAlignment="1">
      <alignment horizontal="right" vertical="center" wrapText="1"/>
    </xf>
    <xf numFmtId="43" fontId="6" fillId="0" borderId="46" xfId="1" applyFont="1" applyFill="1" applyBorder="1" applyAlignment="1">
      <alignment horizontal="right" vertical="center"/>
    </xf>
    <xf numFmtId="43" fontId="6" fillId="0" borderId="19" xfId="1" applyFont="1" applyFill="1" applyBorder="1" applyAlignment="1">
      <alignment horizontal="right" vertical="center"/>
    </xf>
    <xf numFmtId="10" fontId="6" fillId="0" borderId="11" xfId="0" applyNumberFormat="1" applyFont="1" applyFill="1" applyBorder="1" applyAlignment="1">
      <alignment horizontal="right" vertical="center"/>
    </xf>
    <xf numFmtId="0" fontId="16" fillId="0" borderId="47" xfId="0" applyFont="1" applyFill="1" applyBorder="1" applyAlignment="1">
      <alignment horizontal="left" vertical="center"/>
    </xf>
    <xf numFmtId="0" fontId="16" fillId="0" borderId="48" xfId="0" applyFont="1" applyFill="1" applyBorder="1" applyAlignment="1">
      <alignment horizontal="left" vertical="center"/>
    </xf>
    <xf numFmtId="0" fontId="6" fillId="0" borderId="49" xfId="0" applyFont="1" applyFill="1" applyBorder="1" applyAlignment="1">
      <alignment horizontal="center" vertical="center"/>
    </xf>
    <xf numFmtId="43" fontId="6" fillId="0" borderId="50" xfId="1" applyFont="1" applyFill="1" applyBorder="1" applyAlignment="1">
      <alignment horizontal="right" vertical="center"/>
    </xf>
    <xf numFmtId="43" fontId="6" fillId="0" borderId="49" xfId="1" applyFont="1" applyFill="1" applyBorder="1" applyAlignment="1">
      <alignment horizontal="right" vertical="center"/>
    </xf>
    <xf numFmtId="10" fontId="6" fillId="0" borderId="51" xfId="0" applyNumberFormat="1" applyFont="1" applyFill="1" applyBorder="1" applyAlignment="1">
      <alignment horizontal="right" vertical="center"/>
    </xf>
    <xf numFmtId="10" fontId="6" fillId="0" borderId="52" xfId="0" applyNumberFormat="1" applyFont="1" applyFill="1" applyBorder="1" applyAlignment="1">
      <alignment vertical="center"/>
    </xf>
    <xf numFmtId="0" fontId="17" fillId="0" borderId="0" xfId="6">
      <alignment vertical="center"/>
    </xf>
    <xf numFmtId="0" fontId="18" fillId="0" borderId="0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44" fontId="6" fillId="0" borderId="6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6" fillId="0" borderId="17" xfId="0" applyFont="1" applyFill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 wrapText="1"/>
    </xf>
    <xf numFmtId="0" fontId="6" fillId="0" borderId="54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/>
    </xf>
    <xf numFmtId="43" fontId="6" fillId="0" borderId="6" xfId="1" applyFont="1" applyBorder="1" applyAlignment="1">
      <alignment horizontal="right" wrapText="1"/>
    </xf>
    <xf numFmtId="43" fontId="6" fillId="0" borderId="40" xfId="1" applyFont="1" applyFill="1" applyBorder="1" applyAlignment="1">
      <alignment horizontal="right" wrapText="1"/>
    </xf>
    <xf numFmtId="43" fontId="6" fillId="0" borderId="10" xfId="0" applyNumberFormat="1" applyFont="1" applyFill="1" applyBorder="1" applyAlignment="1">
      <alignment horizontal="right" vertical="center"/>
    </xf>
    <xf numFmtId="43" fontId="6" fillId="0" borderId="39" xfId="0" applyNumberFormat="1" applyFont="1" applyFill="1" applyBorder="1" applyAlignment="1">
      <alignment horizontal="right" vertical="center"/>
    </xf>
    <xf numFmtId="43" fontId="6" fillId="0" borderId="40" xfId="1" applyFont="1" applyFill="1" applyBorder="1" applyAlignment="1">
      <alignment horizontal="right"/>
    </xf>
    <xf numFmtId="43" fontId="6" fillId="0" borderId="10" xfId="1" applyFont="1" applyFill="1" applyBorder="1" applyAlignment="1">
      <alignment horizontal="right"/>
    </xf>
    <xf numFmtId="10" fontId="20" fillId="0" borderId="12" xfId="0" applyNumberFormat="1" applyFont="1" applyFill="1" applyBorder="1" applyAlignment="1">
      <alignment horizontal="right"/>
    </xf>
    <xf numFmtId="10" fontId="6" fillId="0" borderId="39" xfId="0" applyNumberFormat="1" applyFont="1" applyFill="1" applyBorder="1" applyAlignment="1"/>
    <xf numFmtId="43" fontId="6" fillId="0" borderId="55" xfId="1" applyFont="1" applyFill="1" applyBorder="1" applyAlignment="1">
      <alignment horizontal="right"/>
    </xf>
    <xf numFmtId="43" fontId="6" fillId="0" borderId="12" xfId="1" applyFont="1" applyFill="1" applyBorder="1" applyAlignment="1">
      <alignment horizontal="right"/>
    </xf>
    <xf numFmtId="43" fontId="20" fillId="0" borderId="39" xfId="0" applyNumberFormat="1" applyFont="1" applyFill="1" applyBorder="1" applyAlignment="1">
      <alignment horizontal="right" vertical="center"/>
    </xf>
    <xf numFmtId="0" fontId="6" fillId="0" borderId="43" xfId="0" applyFont="1" applyFill="1" applyBorder="1" applyAlignment="1">
      <alignment horizontal="left" vertical="center"/>
    </xf>
    <xf numFmtId="43" fontId="6" fillId="0" borderId="41" xfId="1" applyFont="1" applyFill="1" applyBorder="1" applyAlignment="1">
      <alignment horizontal="right"/>
    </xf>
    <xf numFmtId="43" fontId="6" fillId="0" borderId="42" xfId="1" applyFont="1" applyFill="1" applyBorder="1" applyAlignment="1">
      <alignment horizontal="right"/>
    </xf>
    <xf numFmtId="0" fontId="6" fillId="0" borderId="56" xfId="0" applyFont="1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right"/>
    </xf>
    <xf numFmtId="0" fontId="6" fillId="0" borderId="11" xfId="0" applyFont="1" applyFill="1" applyBorder="1" applyAlignment="1">
      <alignment horizontal="left" vertical="center"/>
    </xf>
    <xf numFmtId="43" fontId="6" fillId="0" borderId="11" xfId="1" applyFont="1" applyFill="1" applyBorder="1" applyAlignment="1">
      <alignment horizontal="right"/>
    </xf>
    <xf numFmtId="0" fontId="6" fillId="0" borderId="12" xfId="0" applyFont="1" applyFill="1" applyBorder="1" applyAlignment="1">
      <alignment horizontal="left" vertical="center" wrapText="1"/>
    </xf>
    <xf numFmtId="43" fontId="6" fillId="0" borderId="12" xfId="0" applyNumberFormat="1" applyFont="1" applyFill="1" applyBorder="1" applyAlignment="1">
      <alignment horizontal="right"/>
    </xf>
    <xf numFmtId="43" fontId="6" fillId="0" borderId="10" xfId="0" applyNumberFormat="1" applyFont="1" applyFill="1" applyBorder="1" applyAlignment="1">
      <alignment horizontal="right"/>
    </xf>
    <xf numFmtId="43" fontId="6" fillId="0" borderId="12" xfId="0" applyNumberFormat="1" applyFont="1" applyFill="1" applyBorder="1" applyAlignment="1">
      <alignment horizontal="right" vertical="center"/>
    </xf>
    <xf numFmtId="0" fontId="6" fillId="0" borderId="58" xfId="0" applyFont="1" applyFill="1" applyBorder="1" applyAlignment="1">
      <alignment horizontal="center" vertical="center" wrapText="1"/>
    </xf>
    <xf numFmtId="0" fontId="6" fillId="0" borderId="51" xfId="0" applyFont="1" applyFill="1" applyBorder="1" applyAlignment="1">
      <alignment horizontal="left" vertical="center" wrapText="1"/>
    </xf>
    <xf numFmtId="0" fontId="6" fillId="0" borderId="51" xfId="0" applyFont="1" applyFill="1" applyBorder="1" applyAlignment="1">
      <alignment horizontal="center" vertical="center"/>
    </xf>
    <xf numFmtId="43" fontId="6" fillId="0" borderId="51" xfId="0" applyNumberFormat="1" applyFont="1" applyFill="1" applyBorder="1" applyAlignment="1">
      <alignment horizontal="right" vertical="center"/>
    </xf>
    <xf numFmtId="43" fontId="6" fillId="0" borderId="49" xfId="0" applyNumberFormat="1" applyFont="1" applyFill="1" applyBorder="1" applyAlignment="1">
      <alignment horizontal="right" vertical="center"/>
    </xf>
    <xf numFmtId="43" fontId="6" fillId="0" borderId="52" xfId="0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21" fillId="0" borderId="0" xfId="49"/>
    <xf numFmtId="0" fontId="21" fillId="0" borderId="0" xfId="50"/>
    <xf numFmtId="49" fontId="22" fillId="2" borderId="0" xfId="49" applyNumberFormat="1" applyFont="1" applyFill="1" applyBorder="1" applyAlignment="1">
      <alignment horizontal="center" vertical="center"/>
    </xf>
    <xf numFmtId="0" fontId="1" fillId="0" borderId="0" xfId="6" applyNumberFormat="1" applyFont="1" applyFill="1" applyBorder="1" applyAlignment="1" applyProtection="1"/>
    <xf numFmtId="49" fontId="23" fillId="2" borderId="0" xfId="49" applyNumberFormat="1" applyFont="1" applyFill="1" applyBorder="1" applyAlignment="1">
      <alignment horizontal="center" vertical="center"/>
    </xf>
    <xf numFmtId="49" fontId="21" fillId="0" borderId="0" xfId="49" applyNumberFormat="1" applyFont="1" applyBorder="1" applyAlignment="1">
      <alignment horizontal="left" vertical="center"/>
    </xf>
    <xf numFmtId="49" fontId="21" fillId="0" borderId="6" xfId="49" applyNumberFormat="1" applyFont="1" applyFill="1" applyBorder="1" applyAlignment="1">
      <alignment horizontal="center" vertical="center" wrapText="1" shrinkToFit="1"/>
    </xf>
    <xf numFmtId="49" fontId="21" fillId="0" borderId="6" xfId="49" applyNumberFormat="1" applyFont="1" applyFill="1" applyBorder="1" applyAlignment="1">
      <alignment horizontal="center" vertical="center"/>
    </xf>
    <xf numFmtId="3" fontId="21" fillId="0" borderId="6" xfId="49" applyNumberFormat="1" applyFont="1" applyFill="1" applyBorder="1" applyAlignment="1">
      <alignment horizontal="right" vertical="center"/>
    </xf>
    <xf numFmtId="3" fontId="21" fillId="0" borderId="6" xfId="49" applyNumberFormat="1" applyFont="1" applyFill="1" applyBorder="1" applyAlignment="1">
      <alignment horizontal="right" vertical="center" shrinkToFit="1"/>
    </xf>
    <xf numFmtId="49" fontId="21" fillId="0" borderId="6" xfId="49" applyNumberFormat="1" applyFont="1" applyFill="1" applyBorder="1" applyAlignment="1">
      <alignment horizontal="right" vertical="center"/>
    </xf>
    <xf numFmtId="10" fontId="21" fillId="0" borderId="6" xfId="49" applyNumberFormat="1" applyFont="1" applyFill="1" applyBorder="1" applyAlignment="1">
      <alignment horizontal="right" vertical="center"/>
    </xf>
    <xf numFmtId="49" fontId="21" fillId="0" borderId="6" xfId="49" applyNumberFormat="1" applyFont="1" applyFill="1" applyBorder="1" applyAlignment="1" applyProtection="1">
      <alignment horizontal="right" vertical="center"/>
    </xf>
    <xf numFmtId="3" fontId="21" fillId="0" borderId="6" xfId="49" applyNumberFormat="1" applyFont="1" applyFill="1" applyBorder="1" applyAlignment="1">
      <alignment horizontal="right" vertical="center" wrapText="1"/>
    </xf>
    <xf numFmtId="10" fontId="21" fillId="0" borderId="6" xfId="1" applyNumberFormat="1" applyFont="1" applyFill="1" applyBorder="1" applyAlignment="1">
      <alignment horizontal="right" vertical="center"/>
    </xf>
    <xf numFmtId="49" fontId="21" fillId="0" borderId="6" xfId="1" applyNumberFormat="1" applyFont="1" applyFill="1" applyBorder="1" applyAlignment="1">
      <alignment horizontal="right" vertical="center"/>
    </xf>
    <xf numFmtId="49" fontId="21" fillId="2" borderId="59" xfId="50" applyNumberFormat="1" applyFont="1" applyFill="1" applyBorder="1" applyAlignment="1">
      <alignment horizontal="left" vertical="center"/>
    </xf>
    <xf numFmtId="49" fontId="21" fillId="2" borderId="4" xfId="50" applyNumberFormat="1" applyFont="1" applyFill="1" applyBorder="1" applyAlignment="1">
      <alignment horizontal="right" vertical="center"/>
    </xf>
    <xf numFmtId="49" fontId="21" fillId="2" borderId="59" xfId="50" applyNumberFormat="1" applyFont="1" applyFill="1" applyBorder="1" applyAlignment="1">
      <alignment horizontal="center" vertical="center"/>
    </xf>
    <xf numFmtId="0" fontId="21" fillId="0" borderId="0" xfId="49" applyAlignment="1">
      <alignment horizontal="center"/>
    </xf>
    <xf numFmtId="0" fontId="21" fillId="0" borderId="0" xfId="0" applyFont="1" applyFill="1" applyBorder="1" applyAlignment="1"/>
    <xf numFmtId="49" fontId="24" fillId="0" borderId="0" xfId="0" applyNumberFormat="1" applyFont="1" applyFill="1" applyBorder="1" applyAlignment="1">
      <alignment horizontal="center" vertical="center"/>
    </xf>
    <xf numFmtId="0" fontId="1" fillId="0" borderId="0" xfId="6" applyFont="1" applyFill="1" applyBorder="1" applyAlignment="1"/>
    <xf numFmtId="49" fontId="21" fillId="0" borderId="0" xfId="0" applyNumberFormat="1" applyFont="1" applyFill="1" applyBorder="1" applyAlignment="1">
      <alignment horizontal="center" vertical="center"/>
    </xf>
    <xf numFmtId="49" fontId="21" fillId="0" borderId="8" xfId="0" applyNumberFormat="1" applyFont="1" applyFill="1" applyBorder="1" applyAlignment="1">
      <alignment horizontal="left" vertical="center"/>
    </xf>
    <xf numFmtId="49" fontId="21" fillId="0" borderId="8" xfId="0" applyNumberFormat="1" applyFont="1" applyFill="1" applyBorder="1" applyAlignment="1">
      <alignment horizontal="right" vertical="center"/>
    </xf>
    <xf numFmtId="49" fontId="21" fillId="0" borderId="10" xfId="0" applyNumberFormat="1" applyFont="1" applyFill="1" applyBorder="1" applyAlignment="1">
      <alignment horizontal="center" vertical="center"/>
    </xf>
    <xf numFmtId="49" fontId="21" fillId="0" borderId="10" xfId="0" applyNumberFormat="1" applyFont="1" applyFill="1" applyBorder="1" applyAlignment="1">
      <alignment horizontal="center" vertical="center" wrapText="1" shrinkToFit="1"/>
    </xf>
    <xf numFmtId="49" fontId="21" fillId="0" borderId="42" xfId="0" applyNumberFormat="1" applyFont="1" applyFill="1" applyBorder="1" applyAlignment="1">
      <alignment horizontal="left" vertical="center" wrapText="1" indent="2" shrinkToFit="1"/>
    </xf>
    <xf numFmtId="49" fontId="21" fillId="0" borderId="10" xfId="0" applyNumberFormat="1" applyFont="1" applyFill="1" applyBorder="1" applyAlignment="1">
      <alignment horizontal="left" vertical="center"/>
    </xf>
    <xf numFmtId="43" fontId="21" fillId="0" borderId="10" xfId="0" applyNumberFormat="1" applyFont="1" applyFill="1" applyBorder="1" applyAlignment="1">
      <alignment horizontal="right" vertical="center"/>
    </xf>
    <xf numFmtId="179" fontId="21" fillId="0" borderId="10" xfId="1" applyNumberFormat="1" applyFont="1" applyFill="1" applyBorder="1" applyAlignment="1">
      <alignment vertical="center"/>
    </xf>
    <xf numFmtId="49" fontId="21" fillId="0" borderId="60" xfId="0" applyNumberFormat="1" applyFont="1" applyFill="1" applyBorder="1" applyAlignment="1">
      <alignment horizontal="left" vertical="center" wrapText="1" indent="2" shrinkToFit="1"/>
    </xf>
    <xf numFmtId="4" fontId="21" fillId="0" borderId="10" xfId="0" applyNumberFormat="1" applyFont="1" applyFill="1" applyBorder="1" applyAlignment="1">
      <alignment horizontal="right" vertical="center"/>
    </xf>
    <xf numFmtId="10" fontId="21" fillId="0" borderId="10" xfId="1" applyNumberFormat="1" applyFont="1" applyFill="1" applyBorder="1" applyAlignment="1">
      <alignment horizontal="right" vertical="center"/>
    </xf>
    <xf numFmtId="49" fontId="21" fillId="0" borderId="19" xfId="0" applyNumberFormat="1" applyFont="1" applyFill="1" applyBorder="1" applyAlignment="1">
      <alignment horizontal="left" vertical="center" wrapText="1" indent="2" shrinkToFit="1"/>
    </xf>
    <xf numFmtId="177" fontId="21" fillId="0" borderId="10" xfId="0" applyNumberFormat="1" applyFont="1" applyFill="1" applyBorder="1" applyAlignment="1">
      <alignment horizontal="right" vertical="center"/>
    </xf>
    <xf numFmtId="49" fontId="21" fillId="0" borderId="10" xfId="0" applyNumberFormat="1" applyFont="1" applyFill="1" applyBorder="1" applyAlignment="1">
      <alignment horizontal="left" vertical="center" wrapText="1" indent="2" shrinkToFit="1"/>
    </xf>
    <xf numFmtId="49" fontId="23" fillId="0" borderId="59" xfId="0" applyNumberFormat="1" applyFont="1" applyFill="1" applyBorder="1" applyAlignment="1">
      <alignment horizontal="left" vertical="center"/>
    </xf>
    <xf numFmtId="0" fontId="23" fillId="0" borderId="59" xfId="0" applyFont="1" applyFill="1" applyBorder="1" applyAlignment="1">
      <alignment horizontal="right" vertical="center"/>
    </xf>
    <xf numFmtId="49" fontId="23" fillId="0" borderId="59" xfId="0" applyNumberFormat="1" applyFont="1" applyFill="1" applyBorder="1" applyAlignment="1">
      <alignment horizontal="center" vertical="center"/>
    </xf>
    <xf numFmtId="0" fontId="23" fillId="0" borderId="59" xfId="0" applyFont="1" applyFill="1" applyBorder="1" applyAlignment="1">
      <alignment horizontal="left" vertical="center"/>
    </xf>
    <xf numFmtId="0" fontId="25" fillId="0" borderId="0" xfId="0" applyFont="1" applyFill="1" applyBorder="1" applyAlignment="1"/>
    <xf numFmtId="0" fontId="26" fillId="0" borderId="0" xfId="0" applyFont="1" applyFill="1" applyBorder="1" applyAlignment="1"/>
    <xf numFmtId="0" fontId="27" fillId="0" borderId="0" xfId="0" applyFont="1" applyFill="1" applyBorder="1" applyAlignment="1"/>
    <xf numFmtId="49" fontId="3" fillId="0" borderId="0" xfId="0" applyNumberFormat="1" applyFont="1" applyFill="1" applyBorder="1" applyAlignment="1">
      <alignment horizontal="center" vertical="center"/>
    </xf>
    <xf numFmtId="49" fontId="21" fillId="0" borderId="0" xfId="0" applyNumberFormat="1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 vertical="center"/>
    </xf>
    <xf numFmtId="49" fontId="21" fillId="2" borderId="0" xfId="0" applyNumberFormat="1" applyFont="1" applyFill="1" applyBorder="1" applyAlignment="1">
      <alignment horizontal="right" vertical="center"/>
    </xf>
    <xf numFmtId="49" fontId="21" fillId="0" borderId="6" xfId="0" applyNumberFormat="1" applyFont="1" applyFill="1" applyBorder="1" applyAlignment="1">
      <alignment horizontal="center" vertical="center"/>
    </xf>
    <xf numFmtId="178" fontId="21" fillId="0" borderId="6" xfId="0" applyNumberFormat="1" applyFont="1" applyFill="1" applyBorder="1" applyAlignment="1">
      <alignment horizontal="center" vertical="center"/>
    </xf>
    <xf numFmtId="49" fontId="21" fillId="0" borderId="6" xfId="0" applyNumberFormat="1" applyFont="1" applyFill="1" applyBorder="1" applyAlignment="1">
      <alignment horizontal="center" vertical="center" wrapText="1" shrinkToFit="1"/>
    </xf>
    <xf numFmtId="49" fontId="21" fillId="0" borderId="6" xfId="0" applyNumberFormat="1" applyFont="1" applyFill="1" applyBorder="1" applyAlignment="1">
      <alignment horizontal="left" vertical="center"/>
    </xf>
    <xf numFmtId="180" fontId="21" fillId="0" borderId="6" xfId="0" applyNumberFormat="1" applyFont="1" applyFill="1" applyBorder="1" applyAlignment="1">
      <alignment horizontal="right" vertical="justify"/>
    </xf>
    <xf numFmtId="4" fontId="21" fillId="0" borderId="6" xfId="0" applyNumberFormat="1" applyFont="1" applyFill="1" applyBorder="1" applyAlignment="1">
      <alignment horizontal="right" vertical="justify"/>
    </xf>
    <xf numFmtId="179" fontId="21" fillId="0" borderId="6" xfId="1" applyNumberFormat="1" applyFont="1" applyBorder="1" applyAlignment="1">
      <alignment horizontal="right" vertical="justify"/>
    </xf>
    <xf numFmtId="10" fontId="21" fillId="0" borderId="6" xfId="0" applyNumberFormat="1" applyFont="1" applyFill="1" applyBorder="1" applyAlignment="1">
      <alignment horizontal="left" vertical="center"/>
    </xf>
    <xf numFmtId="10" fontId="21" fillId="0" borderId="6" xfId="1" applyNumberFormat="1" applyFont="1" applyFill="1" applyBorder="1" applyAlignment="1">
      <alignment horizontal="right" vertical="justify"/>
    </xf>
    <xf numFmtId="10" fontId="21" fillId="0" borderId="6" xfId="0" applyNumberFormat="1" applyFont="1" applyFill="1" applyBorder="1" applyAlignment="1">
      <alignment horizontal="right" vertical="justify"/>
    </xf>
    <xf numFmtId="43" fontId="21" fillId="0" borderId="6" xfId="0" applyNumberFormat="1" applyFont="1" applyFill="1" applyBorder="1" applyAlignment="1">
      <alignment horizontal="right" vertical="justify"/>
    </xf>
    <xf numFmtId="49" fontId="21" fillId="0" borderId="5" xfId="0" applyNumberFormat="1" applyFont="1" applyFill="1" applyBorder="1" applyAlignment="1">
      <alignment horizontal="left" vertical="center"/>
    </xf>
    <xf numFmtId="49" fontId="21" fillId="0" borderId="17" xfId="0" applyNumberFormat="1" applyFont="1" applyFill="1" applyBorder="1" applyAlignment="1">
      <alignment horizontal="left" vertical="center"/>
    </xf>
    <xf numFmtId="49" fontId="21" fillId="0" borderId="18" xfId="0" applyNumberFormat="1" applyFont="1" applyFill="1" applyBorder="1" applyAlignment="1">
      <alignment horizontal="left" vertical="center"/>
    </xf>
    <xf numFmtId="178" fontId="21" fillId="0" borderId="6" xfId="0" applyNumberFormat="1" applyFont="1" applyFill="1" applyBorder="1" applyAlignment="1">
      <alignment horizontal="right" vertical="justify"/>
    </xf>
    <xf numFmtId="180" fontId="21" fillId="0" borderId="6" xfId="1" applyNumberFormat="1" applyFont="1" applyFill="1" applyBorder="1" applyAlignment="1">
      <alignment horizontal="right" vertical="justify"/>
    </xf>
    <xf numFmtId="179" fontId="21" fillId="0" borderId="6" xfId="1" applyNumberFormat="1" applyFont="1" applyFill="1" applyBorder="1" applyAlignment="1">
      <alignment horizontal="right" vertical="justify"/>
    </xf>
    <xf numFmtId="181" fontId="21" fillId="0" borderId="6" xfId="0" applyNumberFormat="1" applyFont="1" applyFill="1" applyBorder="1" applyAlignment="1">
      <alignment horizontal="right" vertical="justify"/>
    </xf>
    <xf numFmtId="49" fontId="28" fillId="0" borderId="6" xfId="0" applyNumberFormat="1" applyFont="1" applyFill="1" applyBorder="1" applyAlignment="1">
      <alignment horizontal="left" vertical="center"/>
    </xf>
    <xf numFmtId="49" fontId="21" fillId="0" borderId="4" xfId="0" applyNumberFormat="1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right" vertical="center"/>
    </xf>
    <xf numFmtId="49" fontId="21" fillId="0" borderId="4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left" vertical="center"/>
    </xf>
    <xf numFmtId="49" fontId="21" fillId="2" borderId="0" xfId="0" applyNumberFormat="1" applyFont="1" applyFill="1" applyBorder="1" applyAlignment="1">
      <alignment horizontal="left" vertical="center"/>
    </xf>
    <xf numFmtId="0" fontId="21" fillId="0" borderId="0" xfId="0" applyFont="1" applyFill="1" applyAlignment="1">
      <alignment horizontal="left" vertical="top" wrapText="1"/>
    </xf>
    <xf numFmtId="0" fontId="21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49" fontId="0" fillId="0" borderId="0" xfId="0" applyNumberFormat="1" applyFill="1" applyAlignment="1">
      <alignment vertical="center"/>
    </xf>
    <xf numFmtId="182" fontId="6" fillId="0" borderId="21" xfId="0" applyNumberFormat="1" applyFont="1" applyFill="1" applyBorder="1" applyAlignment="1">
      <alignment horizontal="left" vertical="center"/>
    </xf>
    <xf numFmtId="182" fontId="6" fillId="0" borderId="23" xfId="0" applyNumberFormat="1" applyFont="1" applyFill="1" applyBorder="1" applyAlignment="1">
      <alignment horizontal="center" vertical="center"/>
    </xf>
    <xf numFmtId="182" fontId="6" fillId="0" borderId="24" xfId="0" applyNumberFormat="1" applyFont="1" applyFill="1" applyBorder="1" applyAlignment="1">
      <alignment horizontal="center" vertical="center"/>
    </xf>
    <xf numFmtId="49" fontId="6" fillId="0" borderId="6" xfId="1" applyNumberFormat="1" applyFont="1" applyFill="1" applyBorder="1" applyAlignment="1">
      <alignment horizontal="right" vertical="center"/>
    </xf>
    <xf numFmtId="49" fontId="6" fillId="0" borderId="26" xfId="1" applyNumberFormat="1" applyFont="1" applyFill="1" applyBorder="1" applyAlignment="1">
      <alignment horizontal="right" vertical="center"/>
    </xf>
    <xf numFmtId="49" fontId="6" fillId="0" borderId="28" xfId="1" applyNumberFormat="1" applyFont="1" applyFill="1" applyBorder="1" applyAlignment="1">
      <alignment horizontal="right" vertical="center"/>
    </xf>
    <xf numFmtId="49" fontId="6" fillId="0" borderId="29" xfId="1" applyNumberFormat="1" applyFont="1" applyFill="1" applyBorder="1" applyAlignment="1">
      <alignment horizontal="right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43" fontId="29" fillId="0" borderId="12" xfId="1" applyFont="1" applyFill="1" applyBorder="1" applyAlignment="1">
      <alignment horizontal="right" vertical="center" wrapText="1"/>
    </xf>
    <xf numFmtId="10" fontId="6" fillId="0" borderId="39" xfId="0" applyNumberFormat="1" applyFont="1" applyFill="1" applyBorder="1" applyAlignment="1">
      <alignment horizontal="right" vertical="center"/>
    </xf>
    <xf numFmtId="43" fontId="6" fillId="0" borderId="10" xfId="1" applyFont="1" applyFill="1" applyBorder="1" applyAlignment="1">
      <alignment horizontal="right" vertical="center" wrapText="1"/>
    </xf>
    <xf numFmtId="43" fontId="6" fillId="0" borderId="12" xfId="1" applyFont="1" applyFill="1" applyBorder="1" applyAlignment="1">
      <alignment horizontal="right" vertical="center"/>
    </xf>
    <xf numFmtId="49" fontId="29" fillId="0" borderId="12" xfId="1" applyNumberFormat="1" applyFont="1" applyFill="1" applyBorder="1" applyAlignment="1">
      <alignment horizontal="right" vertical="center" wrapText="1"/>
    </xf>
    <xf numFmtId="49" fontId="6" fillId="0" borderId="10" xfId="1" applyNumberFormat="1" applyFont="1" applyFill="1" applyBorder="1" applyAlignment="1">
      <alignment horizontal="right" vertical="center" wrapText="1"/>
    </xf>
    <xf numFmtId="49" fontId="6" fillId="0" borderId="10" xfId="1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58" fontId="0" fillId="0" borderId="0" xfId="0" applyNumberFormat="1" applyFill="1" applyAlignment="1">
      <alignment vertical="center"/>
    </xf>
    <xf numFmtId="0" fontId="19" fillId="0" borderId="0" xfId="0" applyFont="1" applyFill="1" applyBorder="1" applyAlignment="1">
      <alignment horizontal="left" vertical="center"/>
    </xf>
    <xf numFmtId="0" fontId="6" fillId="0" borderId="25" xfId="0" applyFont="1" applyFill="1" applyBorder="1" applyAlignment="1">
      <alignment horizontal="center" vertical="center" wrapText="1"/>
    </xf>
    <xf numFmtId="10" fontId="6" fillId="0" borderId="12" xfId="0" applyNumberFormat="1" applyFont="1" applyFill="1" applyBorder="1" applyAlignment="1">
      <alignment horizontal="right" vertical="center" wrapText="1"/>
    </xf>
    <xf numFmtId="43" fontId="6" fillId="0" borderId="26" xfId="0" applyNumberFormat="1" applyFont="1" applyFill="1" applyBorder="1" applyAlignment="1">
      <alignment horizontal="right" vertical="center"/>
    </xf>
    <xf numFmtId="0" fontId="6" fillId="0" borderId="27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left" vertical="center" wrapText="1"/>
    </xf>
    <xf numFmtId="43" fontId="6" fillId="0" borderId="28" xfId="0" applyNumberFormat="1" applyFont="1" applyFill="1" applyBorder="1" applyAlignment="1">
      <alignment horizontal="right" vertical="center"/>
    </xf>
    <xf numFmtId="43" fontId="6" fillId="0" borderId="29" xfId="0" applyNumberFormat="1" applyFont="1" applyFill="1" applyBorder="1" applyAlignment="1">
      <alignment horizontal="right" vertical="center"/>
    </xf>
    <xf numFmtId="182" fontId="15" fillId="0" borderId="21" xfId="0" applyNumberFormat="1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1" fillId="0" borderId="6" xfId="6" applyFont="1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zoomScale="150" zoomScaleNormal="150" workbookViewId="0">
      <selection activeCell="C15" sqref="C15"/>
    </sheetView>
  </sheetViews>
  <sheetFormatPr defaultColWidth="8.72727272727273" defaultRowHeight="14" outlineLevelCol="6"/>
  <cols>
    <col min="2" max="2" width="36.5454545454545" customWidth="1"/>
    <col min="3" max="3" width="11.8181818181818" customWidth="1"/>
  </cols>
  <sheetData>
    <row r="1" ht="24" customHeight="1" spans="1:7">
      <c r="A1" s="264" t="s">
        <v>0</v>
      </c>
      <c r="B1" s="264"/>
      <c r="C1" s="264"/>
      <c r="D1" s="264"/>
      <c r="E1" s="265"/>
      <c r="F1" s="265"/>
      <c r="G1" s="265"/>
    </row>
    <row r="2" ht="23" customHeight="1" spans="1:7">
      <c r="A2" s="266" t="s">
        <v>1</v>
      </c>
      <c r="B2" s="266"/>
      <c r="C2" s="266"/>
      <c r="D2" s="266"/>
      <c r="E2" s="267"/>
      <c r="F2" s="267"/>
      <c r="G2" s="267"/>
    </row>
    <row r="3" ht="16" customHeight="1" spans="1:7">
      <c r="A3" s="268" t="s">
        <v>2</v>
      </c>
      <c r="B3" s="268" t="s">
        <v>3</v>
      </c>
      <c r="C3" s="268" t="s">
        <v>4</v>
      </c>
      <c r="D3" s="268" t="s">
        <v>5</v>
      </c>
      <c r="E3" s="264"/>
      <c r="F3" s="264"/>
      <c r="G3" s="264"/>
    </row>
    <row r="4" ht="16" customHeight="1" spans="1:7">
      <c r="A4" s="268">
        <f>ROW()-3</f>
        <v>1</v>
      </c>
      <c r="B4" s="269" t="str" cm="1">
        <f ca="1" t="array" ref="B4:B16">_wpsfn.SHEETSNAME(,1,1)</f>
        <v>住房公积金资金使用预算总表</v>
      </c>
      <c r="C4" s="270" t="str">
        <f ca="1">HYPERLINK("#"&amp;B4&amp;"!A1","请点击")</f>
        <v>请点击</v>
      </c>
      <c r="D4" s="269"/>
    </row>
    <row r="5" ht="16" customHeight="1" spans="1:7">
      <c r="A5" s="268">
        <f t="shared" ref="A5:A16" si="0">ROW()-3</f>
        <v>2</v>
      </c>
      <c r="B5" s="269" t="str">
        <v>住房公积金资金使用预算附表</v>
      </c>
      <c r="C5" s="270" t="str">
        <f ca="1" t="shared" ref="C5:C16" si="1">HYPERLINK("#"&amp;B5&amp;"!A1","请点击")</f>
        <v>请点击</v>
      </c>
      <c r="D5" s="269"/>
    </row>
    <row r="6" ht="16" customHeight="1" spans="1:7">
      <c r="A6" s="268">
        <f t="shared" si="0"/>
        <v>3</v>
      </c>
      <c r="B6" s="269" t="str">
        <v>住房公积金业务收支预算总表</v>
      </c>
      <c r="C6" s="270" t="str">
        <f ca="1" t="shared" si="1"/>
        <v>请点击</v>
      </c>
      <c r="D6" s="269"/>
    </row>
    <row r="7" ht="16" customHeight="1" spans="1:7">
      <c r="A7" s="268">
        <f t="shared" si="0"/>
        <v>4</v>
      </c>
      <c r="B7" s="269" t="str">
        <v>住房公积金业务收支预算附表</v>
      </c>
      <c r="C7" s="270" t="str">
        <f ca="1" t="shared" si="1"/>
        <v>请点击</v>
      </c>
      <c r="D7" s="269"/>
    </row>
    <row r="8" ht="16" customHeight="1" spans="1:7">
      <c r="A8" s="268">
        <f t="shared" si="0"/>
        <v>5</v>
      </c>
      <c r="B8" s="269" t="str">
        <v>住房公积金资金使用预算执行情况表</v>
      </c>
      <c r="C8" s="270" t="str">
        <f ca="1" t="shared" si="1"/>
        <v>请点击</v>
      </c>
      <c r="D8" s="269"/>
    </row>
    <row r="9" ht="16" customHeight="1" spans="1:7">
      <c r="A9" s="268">
        <f t="shared" si="0"/>
        <v>6</v>
      </c>
      <c r="B9" s="269" t="str">
        <v>住房公积金业务收支预算执行情况表</v>
      </c>
      <c r="C9" s="270" t="str">
        <f ca="1" t="shared" si="1"/>
        <v>请点击</v>
      </c>
      <c r="D9" s="269"/>
    </row>
    <row r="10" ht="16" customHeight="1" spans="1:7">
      <c r="A10" s="268">
        <f t="shared" si="0"/>
        <v>7</v>
      </c>
      <c r="B10" s="269" t="str">
        <v>住房公积金扩面工作完成情况表</v>
      </c>
      <c r="C10" s="270" t="str">
        <f ca="1" t="shared" si="1"/>
        <v>请点击</v>
      </c>
      <c r="D10" s="269"/>
    </row>
    <row r="11" ht="16" customHeight="1" spans="1:7">
      <c r="A11" s="268">
        <f t="shared" si="0"/>
        <v>8</v>
      </c>
      <c r="B11" s="269" t="str">
        <v>住房公积金归集使用决算总表</v>
      </c>
      <c r="C11" s="270" t="str">
        <f ca="1" t="shared" si="1"/>
        <v>请点击</v>
      </c>
      <c r="D11" s="269"/>
    </row>
    <row r="12" ht="16" customHeight="1" spans="1:7">
      <c r="A12" s="268">
        <f t="shared" si="0"/>
        <v>9</v>
      </c>
      <c r="B12" s="269" t="str">
        <v>住房公积金归集使用决算附表</v>
      </c>
      <c r="C12" s="270" t="str">
        <f ca="1" t="shared" si="1"/>
        <v>请点击</v>
      </c>
      <c r="D12" s="269"/>
    </row>
    <row r="13" ht="16" customHeight="1" spans="1:7">
      <c r="A13" s="268">
        <f t="shared" si="0"/>
        <v>10</v>
      </c>
      <c r="B13" s="269" t="str">
        <v>住房公积金业务收支决算总表</v>
      </c>
      <c r="C13" s="270" t="str">
        <f ca="1" t="shared" si="1"/>
        <v>请点击</v>
      </c>
      <c r="D13" s="269"/>
    </row>
    <row r="14" ht="16" customHeight="1" spans="1:7">
      <c r="A14" s="268">
        <f t="shared" si="0"/>
        <v>11</v>
      </c>
      <c r="B14" s="269" t="str">
        <v>住房公积金业务收支决算附表</v>
      </c>
      <c r="C14" s="270" t="str">
        <f ca="1" t="shared" si="1"/>
        <v>请点击</v>
      </c>
      <c r="D14" s="269"/>
    </row>
    <row r="15" ht="16" customHeight="1" spans="1:7">
      <c r="A15" s="268">
        <f t="shared" si="0"/>
        <v>12</v>
      </c>
      <c r="B15" s="269" t="str">
        <v>住房公积金增值收益分配情况总表</v>
      </c>
      <c r="C15" s="270" t="str">
        <f ca="1" t="shared" si="1"/>
        <v>请点击</v>
      </c>
      <c r="D15" s="269"/>
    </row>
    <row r="16" ht="16" customHeight="1" spans="1:7">
      <c r="A16" s="268">
        <f t="shared" si="0"/>
        <v>13</v>
      </c>
      <c r="B16" s="269" t="str">
        <v>住房公积金增值收益分配情附表</v>
      </c>
      <c r="C16" s="270" t="str">
        <f ca="1" t="shared" si="1"/>
        <v>请点击</v>
      </c>
      <c r="D16" s="269"/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zoomScale="110" zoomScaleNormal="110" workbookViewId="0">
      <selection activeCell="A21" sqref="A21:H21"/>
    </sheetView>
  </sheetViews>
  <sheetFormatPr defaultColWidth="8.72727272727273" defaultRowHeight="14"/>
  <cols>
    <col min="1" max="1" width="8.72727272727273" style="1"/>
    <col min="2" max="2" width="15.0909090909091" style="1" customWidth="1"/>
    <col min="3" max="3" width="31.1818181818182" style="1" customWidth="1"/>
    <col min="4" max="4" width="5.90909090909091" style="1" customWidth="1"/>
    <col min="5" max="5" width="30.0909090909091" style="1" customWidth="1"/>
    <col min="6" max="6" width="31.1818181818182" style="1" customWidth="1"/>
    <col min="7" max="7" width="35.5454545454545" style="1" customWidth="1"/>
    <col min="8" max="8" width="33.3636363636364" style="1" customWidth="1"/>
    <col min="9" max="16384" width="8.72727272727273" style="1"/>
  </cols>
  <sheetData>
    <row r="1" s="1" customFormat="1" spans="2:9">
      <c r="G1" s="2" t="str">
        <f>HYPERLINK("#目录!A1","点击返回")</f>
        <v>点击返回</v>
      </c>
    </row>
    <row r="2" s="1" customFormat="1" ht="34" customHeight="1" spans="2:9">
      <c r="B2" s="233" t="s">
        <v>6</v>
      </c>
      <c r="C2" s="234"/>
      <c r="D2" s="234"/>
      <c r="E2" s="234"/>
      <c r="F2" s="234"/>
      <c r="G2" s="234"/>
      <c r="H2" s="234"/>
      <c r="I2" s="253">
        <v>46026</v>
      </c>
    </row>
    <row r="3" s="1" customFormat="1" ht="22" customHeight="1" spans="2:9">
      <c r="B3" s="262" t="s">
        <v>7</v>
      </c>
      <c r="C3" s="262"/>
      <c r="D3" s="262"/>
      <c r="E3" s="262"/>
      <c r="F3" s="262"/>
      <c r="G3" s="262"/>
      <c r="H3" s="262"/>
    </row>
    <row r="4" s="1" customFormat="1" ht="15" spans="2:9">
      <c r="B4" s="76" t="s">
        <v>8</v>
      </c>
      <c r="C4" s="77"/>
      <c r="D4" s="78" t="s">
        <v>9</v>
      </c>
      <c r="E4" s="81" t="s">
        <v>10</v>
      </c>
      <c r="F4" s="80" t="s">
        <v>11</v>
      </c>
      <c r="G4" s="80" t="s">
        <v>12</v>
      </c>
      <c r="H4" s="82" t="s">
        <v>13</v>
      </c>
    </row>
    <row r="5" s="1" customFormat="1" ht="26" customHeight="1" spans="2:9">
      <c r="B5" s="125" t="s">
        <v>14</v>
      </c>
      <c r="C5" s="126" t="s">
        <v>15</v>
      </c>
      <c r="D5" s="244">
        <v>1</v>
      </c>
      <c r="E5" s="245" t="s">
        <v>16</v>
      </c>
      <c r="F5" s="247" t="s">
        <v>17</v>
      </c>
      <c r="G5" s="247" t="s">
        <v>18</v>
      </c>
      <c r="H5" s="130" t="s">
        <v>19</v>
      </c>
    </row>
    <row r="6" s="1" customFormat="1" ht="26" customHeight="1" spans="2:9">
      <c r="B6" s="125"/>
      <c r="C6" s="126" t="s">
        <v>20</v>
      </c>
      <c r="D6" s="244">
        <v>2</v>
      </c>
      <c r="E6" s="245" t="s">
        <v>21</v>
      </c>
      <c r="F6" s="247" t="s">
        <v>22</v>
      </c>
      <c r="G6" s="92" t="s">
        <v>23</v>
      </c>
      <c r="H6" s="246" t="s">
        <v>24</v>
      </c>
    </row>
    <row r="7" s="1" customFormat="1" ht="26" customHeight="1" spans="2:9">
      <c r="B7" s="125"/>
      <c r="C7" s="126" t="s">
        <v>25</v>
      </c>
      <c r="D7" s="244">
        <v>3</v>
      </c>
      <c r="E7" s="245" t="s">
        <v>26</v>
      </c>
      <c r="F7" s="247" t="s">
        <v>27</v>
      </c>
      <c r="G7" s="92" t="s">
        <v>23</v>
      </c>
      <c r="H7" s="246" t="s">
        <v>24</v>
      </c>
    </row>
    <row r="8" s="1" customFormat="1" ht="26" customHeight="1" spans="2:9">
      <c r="B8" s="125"/>
      <c r="C8" s="126" t="s">
        <v>28</v>
      </c>
      <c r="D8" s="244">
        <v>4</v>
      </c>
      <c r="E8" s="248" t="s">
        <v>29</v>
      </c>
      <c r="F8" s="248" t="s">
        <v>29</v>
      </c>
      <c r="G8" s="92" t="s">
        <v>29</v>
      </c>
      <c r="H8" s="130" t="s">
        <v>19</v>
      </c>
    </row>
    <row r="9" s="1" customFormat="1" ht="26" customHeight="1" spans="2:9">
      <c r="B9" s="125" t="s">
        <v>30</v>
      </c>
      <c r="C9" s="126" t="s">
        <v>15</v>
      </c>
      <c r="D9" s="244">
        <v>5</v>
      </c>
      <c r="E9" s="245" t="s">
        <v>31</v>
      </c>
      <c r="F9" s="247" t="s">
        <v>32</v>
      </c>
      <c r="G9" s="247" t="s">
        <v>33</v>
      </c>
      <c r="H9" s="130" t="s">
        <v>19</v>
      </c>
    </row>
    <row r="10" s="1" customFormat="1" ht="26" customHeight="1" spans="2:9">
      <c r="B10" s="125"/>
      <c r="C10" s="126" t="s">
        <v>34</v>
      </c>
      <c r="D10" s="244">
        <v>6</v>
      </c>
      <c r="E10" s="245" t="s">
        <v>35</v>
      </c>
      <c r="F10" s="247" t="s">
        <v>36</v>
      </c>
      <c r="G10" s="92" t="s">
        <v>23</v>
      </c>
      <c r="H10" s="246" t="s">
        <v>24</v>
      </c>
    </row>
    <row r="11" s="1" customFormat="1" ht="26" customHeight="1" spans="2:9">
      <c r="B11" s="125"/>
      <c r="C11" s="126" t="s">
        <v>37</v>
      </c>
      <c r="D11" s="244">
        <v>7</v>
      </c>
      <c r="E11" s="245" t="s">
        <v>38</v>
      </c>
      <c r="F11" s="247" t="s">
        <v>39</v>
      </c>
      <c r="G11" s="92" t="s">
        <v>23</v>
      </c>
      <c r="H11" s="246" t="s">
        <v>24</v>
      </c>
    </row>
    <row r="12" s="1" customFormat="1" ht="26" customHeight="1" spans="2:9">
      <c r="B12" s="125"/>
      <c r="C12" s="146" t="s">
        <v>40</v>
      </c>
      <c r="D12" s="244">
        <v>8</v>
      </c>
      <c r="E12" s="245" t="s">
        <v>41</v>
      </c>
      <c r="F12" s="247" t="s">
        <v>42</v>
      </c>
      <c r="G12" s="92" t="s">
        <v>23</v>
      </c>
      <c r="H12" s="246" t="s">
        <v>24</v>
      </c>
    </row>
    <row r="13" s="1" customFormat="1" ht="26" customHeight="1" spans="2:9">
      <c r="B13" s="125"/>
      <c r="C13" s="126" t="s">
        <v>28</v>
      </c>
      <c r="D13" s="244">
        <v>9</v>
      </c>
      <c r="E13" s="248" t="s">
        <v>43</v>
      </c>
      <c r="F13" s="248" t="s">
        <v>43</v>
      </c>
      <c r="G13" s="248" t="s">
        <v>43</v>
      </c>
      <c r="H13" s="130" t="s">
        <v>19</v>
      </c>
    </row>
    <row r="14" s="1" customFormat="1" ht="26" customHeight="1" spans="2:9">
      <c r="B14" s="125"/>
      <c r="C14" s="146" t="s">
        <v>44</v>
      </c>
      <c r="D14" s="244">
        <v>10</v>
      </c>
      <c r="E14" s="256" t="s">
        <v>45</v>
      </c>
      <c r="F14" s="256" t="s">
        <v>45</v>
      </c>
      <c r="G14" s="256" t="s">
        <v>45</v>
      </c>
      <c r="H14" s="130" t="s">
        <v>19</v>
      </c>
    </row>
    <row r="15" s="1" customFormat="1" ht="26" customHeight="1" spans="2:9">
      <c r="B15" s="125" t="s">
        <v>46</v>
      </c>
      <c r="C15" s="126" t="s">
        <v>15</v>
      </c>
      <c r="D15" s="244">
        <v>11</v>
      </c>
      <c r="E15" s="149" t="s">
        <v>19</v>
      </c>
      <c r="F15" s="129" t="s">
        <v>19</v>
      </c>
      <c r="G15" s="129" t="s">
        <v>19</v>
      </c>
      <c r="H15" s="130" t="s">
        <v>19</v>
      </c>
    </row>
    <row r="16" s="1" customFormat="1" ht="26" customHeight="1" spans="2:9">
      <c r="B16" s="125"/>
      <c r="C16" s="126" t="s">
        <v>47</v>
      </c>
      <c r="D16" s="244">
        <v>12</v>
      </c>
      <c r="E16" s="149" t="s">
        <v>19</v>
      </c>
      <c r="F16" s="129" t="s">
        <v>19</v>
      </c>
      <c r="G16" s="129" t="s">
        <v>19</v>
      </c>
      <c r="H16" s="130" t="s">
        <v>19</v>
      </c>
    </row>
    <row r="17" s="1" customFormat="1" ht="26" customHeight="1" spans="1:8">
      <c r="B17" s="125"/>
      <c r="C17" s="126" t="s">
        <v>48</v>
      </c>
      <c r="D17" s="244">
        <v>13</v>
      </c>
      <c r="E17" s="149" t="s">
        <v>19</v>
      </c>
      <c r="F17" s="129" t="s">
        <v>19</v>
      </c>
      <c r="G17" s="129" t="s">
        <v>19</v>
      </c>
      <c r="H17" s="130" t="s">
        <v>19</v>
      </c>
    </row>
    <row r="18" s="1" customFormat="1" ht="26" customHeight="1" spans="1:8">
      <c r="B18" s="125"/>
      <c r="C18" s="126" t="s">
        <v>28</v>
      </c>
      <c r="D18" s="244">
        <v>14</v>
      </c>
      <c r="E18" s="149" t="s">
        <v>19</v>
      </c>
      <c r="F18" s="129" t="s">
        <v>19</v>
      </c>
      <c r="G18" s="129" t="s">
        <v>19</v>
      </c>
      <c r="H18" s="130" t="s">
        <v>19</v>
      </c>
    </row>
    <row r="19" s="1" customFormat="1" ht="26" customHeight="1" spans="1:8">
      <c r="B19" s="150"/>
      <c r="C19" s="151" t="s">
        <v>49</v>
      </c>
      <c r="D19" s="108">
        <v>15</v>
      </c>
      <c r="E19" s="153" t="s">
        <v>19</v>
      </c>
      <c r="F19" s="154" t="s">
        <v>19</v>
      </c>
      <c r="G19" s="154" t="s">
        <v>19</v>
      </c>
      <c r="H19" s="155" t="s">
        <v>19</v>
      </c>
    </row>
    <row r="21" s="1" customFormat="1" ht="97" customHeight="1" spans="1:8">
      <c r="A21" s="263" t="s">
        <v>50</v>
      </c>
      <c r="B21" s="156"/>
      <c r="C21" s="156"/>
      <c r="D21" s="156"/>
      <c r="E21" s="156"/>
      <c r="F21" s="156"/>
      <c r="G21" s="156"/>
      <c r="H21" s="156"/>
    </row>
  </sheetData>
  <mergeCells count="7">
    <mergeCell ref="B2:H2"/>
    <mergeCell ref="B3:H3"/>
    <mergeCell ref="B4:C4"/>
    <mergeCell ref="A21:H21"/>
    <mergeCell ref="B5:B8"/>
    <mergeCell ref="B9:B14"/>
    <mergeCell ref="B15:B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1"/>
  <sheetViews>
    <sheetView workbookViewId="0">
      <selection activeCell="F16" sqref="F16"/>
    </sheetView>
  </sheetViews>
  <sheetFormatPr defaultColWidth="8.72727272727273" defaultRowHeight="14"/>
  <cols>
    <col min="1" max="1" width="8.72727272727273" style="1"/>
    <col min="2" max="2" width="13.0909090909091" style="1" customWidth="1"/>
    <col min="3" max="3" width="24.6363636363636" style="1" customWidth="1"/>
    <col min="4" max="4" width="5" style="1" customWidth="1"/>
    <col min="5" max="5" width="17.7272727272727" style="1" customWidth="1"/>
    <col min="6" max="6" width="21.1818181818182" style="1" customWidth="1"/>
    <col min="7" max="7" width="20.6363636363636" style="1" customWidth="1"/>
    <col min="8" max="8" width="20.8181818181818" style="1" customWidth="1"/>
    <col min="9" max="9" width="19.7272727272727" style="1" customWidth="1"/>
    <col min="10" max="10" width="21.8181818181818" style="1" customWidth="1"/>
    <col min="11" max="11" width="23.0909090909091" style="1" customWidth="1"/>
    <col min="12" max="16384" width="8.72727272727273" style="1"/>
  </cols>
  <sheetData>
    <row r="1" s="1" customFormat="1" spans="2:12">
      <c r="G1" s="2" t="str">
        <f>HYPERLINK("#目录!A1","点击返回")</f>
        <v>点击返回</v>
      </c>
    </row>
    <row r="2" s="1" customFormat="1" ht="27.5" spans="2:12">
      <c r="B2" s="252" t="s">
        <v>51</v>
      </c>
      <c r="C2" s="252"/>
      <c r="D2" s="252"/>
      <c r="E2" s="252"/>
      <c r="F2" s="252"/>
      <c r="G2" s="252"/>
      <c r="H2" s="252"/>
      <c r="I2" s="252"/>
      <c r="J2" s="252"/>
      <c r="K2" s="252"/>
      <c r="L2" s="253">
        <v>46057</v>
      </c>
    </row>
    <row r="3" s="1" customFormat="1" ht="26" customHeight="1" spans="2:12">
      <c r="B3" s="254" t="s">
        <v>52</v>
      </c>
      <c r="C3" s="254"/>
      <c r="D3" s="254"/>
      <c r="E3" s="254"/>
      <c r="F3" s="254"/>
      <c r="G3" s="254"/>
      <c r="H3" s="254"/>
      <c r="I3" s="254"/>
      <c r="J3" s="254"/>
      <c r="K3" s="254"/>
    </row>
    <row r="4" s="1" customFormat="1" ht="24" customHeight="1" spans="2:12">
      <c r="B4" s="53" t="s">
        <v>8</v>
      </c>
      <c r="C4" s="54"/>
      <c r="D4" s="123" t="s">
        <v>9</v>
      </c>
      <c r="E4" s="237" t="s">
        <v>12</v>
      </c>
      <c r="F4" s="237"/>
      <c r="G4" s="237"/>
      <c r="H4" s="237"/>
      <c r="I4" s="237"/>
      <c r="J4" s="237"/>
      <c r="K4" s="238"/>
    </row>
    <row r="5" s="1" customFormat="1" ht="23" customHeight="1" spans="2:12">
      <c r="B5" s="57"/>
      <c r="C5" s="58"/>
      <c r="D5" s="59"/>
      <c r="E5" s="58" t="s">
        <v>53</v>
      </c>
      <c r="F5" s="59" t="s">
        <v>54</v>
      </c>
      <c r="G5" s="59" t="s">
        <v>55</v>
      </c>
      <c r="H5" s="59" t="s">
        <v>56</v>
      </c>
      <c r="I5" s="60" t="s">
        <v>57</v>
      </c>
      <c r="J5" s="60" t="s">
        <v>58</v>
      </c>
      <c r="K5" s="61" t="s">
        <v>59</v>
      </c>
    </row>
    <row r="6" s="1" customFormat="1" ht="32" customHeight="1" spans="2:12">
      <c r="B6" s="255" t="s">
        <v>14</v>
      </c>
      <c r="C6" s="67" t="s">
        <v>15</v>
      </c>
      <c r="D6" s="58">
        <v>1</v>
      </c>
      <c r="E6" s="64" t="s">
        <v>60</v>
      </c>
      <c r="F6" s="247" t="s">
        <v>61</v>
      </c>
      <c r="G6" s="247" t="s">
        <v>61</v>
      </c>
      <c r="H6" s="247" t="s">
        <v>61</v>
      </c>
      <c r="I6" s="247" t="s">
        <v>61</v>
      </c>
      <c r="J6" s="247" t="s">
        <v>61</v>
      </c>
      <c r="K6" s="247" t="s">
        <v>61</v>
      </c>
      <c r="L6" s="1" t="s">
        <v>62</v>
      </c>
    </row>
    <row r="7" s="1" customFormat="1" ht="25" customHeight="1" spans="2:12">
      <c r="B7" s="255"/>
      <c r="C7" s="67" t="s">
        <v>20</v>
      </c>
      <c r="D7" s="58">
        <v>2</v>
      </c>
      <c r="E7" s="64" t="s">
        <v>60</v>
      </c>
      <c r="F7" s="92" t="s">
        <v>23</v>
      </c>
      <c r="G7" s="92" t="s">
        <v>23</v>
      </c>
      <c r="H7" s="92" t="s">
        <v>23</v>
      </c>
      <c r="I7" s="92" t="s">
        <v>23</v>
      </c>
      <c r="J7" s="92" t="s">
        <v>23</v>
      </c>
      <c r="K7" s="92" t="s">
        <v>23</v>
      </c>
    </row>
    <row r="8" s="1" customFormat="1" ht="25" customHeight="1" spans="2:12">
      <c r="B8" s="255"/>
      <c r="C8" s="67" t="s">
        <v>25</v>
      </c>
      <c r="D8" s="58">
        <v>3</v>
      </c>
      <c r="E8" s="64" t="s">
        <v>60</v>
      </c>
      <c r="F8" s="92" t="s">
        <v>23</v>
      </c>
      <c r="G8" s="92" t="s">
        <v>23</v>
      </c>
      <c r="H8" s="92" t="s">
        <v>23</v>
      </c>
      <c r="I8" s="92" t="s">
        <v>23</v>
      </c>
      <c r="J8" s="92" t="s">
        <v>23</v>
      </c>
      <c r="K8" s="92" t="s">
        <v>23</v>
      </c>
    </row>
    <row r="9" s="1" customFormat="1" ht="25" customHeight="1" spans="2:12">
      <c r="B9" s="255"/>
      <c r="C9" s="67" t="s">
        <v>63</v>
      </c>
      <c r="D9" s="58">
        <v>4</v>
      </c>
      <c r="E9" s="64" t="s">
        <v>60</v>
      </c>
      <c r="F9" s="92" t="s">
        <v>23</v>
      </c>
      <c r="G9" s="92" t="s">
        <v>23</v>
      </c>
      <c r="H9" s="92" t="s">
        <v>23</v>
      </c>
      <c r="I9" s="92" t="s">
        <v>23</v>
      </c>
      <c r="J9" s="92" t="s">
        <v>23</v>
      </c>
      <c r="K9" s="92" t="s">
        <v>23</v>
      </c>
    </row>
    <row r="10" s="1" customFormat="1" ht="25" customHeight="1" spans="2:12">
      <c r="B10" s="255"/>
      <c r="C10" s="67" t="s">
        <v>28</v>
      </c>
      <c r="D10" s="58">
        <v>5</v>
      </c>
      <c r="E10" s="64" t="s">
        <v>60</v>
      </c>
      <c r="F10" s="92" t="s">
        <v>64</v>
      </c>
      <c r="G10" s="92" t="s">
        <v>64</v>
      </c>
      <c r="H10" s="92" t="s">
        <v>64</v>
      </c>
      <c r="I10" s="92" t="s">
        <v>64</v>
      </c>
      <c r="J10" s="92" t="s">
        <v>64</v>
      </c>
      <c r="K10" s="92" t="s">
        <v>64</v>
      </c>
    </row>
    <row r="11" s="1" customFormat="1" ht="25" customHeight="1" spans="2:12">
      <c r="B11" s="255" t="s">
        <v>30</v>
      </c>
      <c r="C11" s="67" t="s">
        <v>15</v>
      </c>
      <c r="D11" s="58">
        <v>6</v>
      </c>
      <c r="E11" s="64" t="s">
        <v>60</v>
      </c>
      <c r="F11" s="247" t="s">
        <v>61</v>
      </c>
      <c r="G11" s="247" t="s">
        <v>61</v>
      </c>
      <c r="H11" s="247" t="s">
        <v>61</v>
      </c>
      <c r="I11" s="247" t="s">
        <v>61</v>
      </c>
      <c r="J11" s="247" t="s">
        <v>61</v>
      </c>
      <c r="K11" s="247" t="s">
        <v>61</v>
      </c>
    </row>
    <row r="12" s="1" customFormat="1" ht="25" customHeight="1" spans="2:12">
      <c r="B12" s="255"/>
      <c r="C12" s="67" t="s">
        <v>34</v>
      </c>
      <c r="D12" s="58">
        <v>7</v>
      </c>
      <c r="E12" s="64" t="s">
        <v>60</v>
      </c>
      <c r="F12" s="92" t="s">
        <v>23</v>
      </c>
      <c r="G12" s="92" t="s">
        <v>23</v>
      </c>
      <c r="H12" s="92" t="s">
        <v>23</v>
      </c>
      <c r="I12" s="92" t="s">
        <v>23</v>
      </c>
      <c r="J12" s="92" t="s">
        <v>23</v>
      </c>
      <c r="K12" s="92" t="s">
        <v>23</v>
      </c>
    </row>
    <row r="13" s="1" customFormat="1" ht="25" customHeight="1" spans="2:12">
      <c r="B13" s="255"/>
      <c r="C13" s="67" t="s">
        <v>37</v>
      </c>
      <c r="D13" s="58">
        <v>8</v>
      </c>
      <c r="E13" s="64" t="s">
        <v>60</v>
      </c>
      <c r="F13" s="92" t="s">
        <v>23</v>
      </c>
      <c r="G13" s="92" t="s">
        <v>23</v>
      </c>
      <c r="H13" s="92" t="s">
        <v>23</v>
      </c>
      <c r="I13" s="92" t="s">
        <v>23</v>
      </c>
      <c r="J13" s="92" t="s">
        <v>23</v>
      </c>
      <c r="K13" s="92" t="s">
        <v>23</v>
      </c>
    </row>
    <row r="14" s="1" customFormat="1" ht="25" customHeight="1" spans="2:12">
      <c r="B14" s="255"/>
      <c r="C14" s="121" t="s">
        <v>40</v>
      </c>
      <c r="D14" s="58">
        <v>9</v>
      </c>
      <c r="E14" s="64" t="s">
        <v>60</v>
      </c>
      <c r="F14" s="92" t="s">
        <v>23</v>
      </c>
      <c r="G14" s="92" t="s">
        <v>23</v>
      </c>
      <c r="H14" s="92" t="s">
        <v>23</v>
      </c>
      <c r="I14" s="92" t="s">
        <v>23</v>
      </c>
      <c r="J14" s="92" t="s">
        <v>23</v>
      </c>
      <c r="K14" s="92" t="s">
        <v>23</v>
      </c>
    </row>
    <row r="15" s="1" customFormat="1" ht="25" customHeight="1" spans="2:12">
      <c r="B15" s="255"/>
      <c r="C15" s="67" t="s">
        <v>28</v>
      </c>
      <c r="D15" s="58">
        <v>10</v>
      </c>
      <c r="E15" s="64" t="s">
        <v>60</v>
      </c>
      <c r="F15" s="248" t="s">
        <v>65</v>
      </c>
      <c r="G15" s="248" t="s">
        <v>65</v>
      </c>
      <c r="H15" s="248" t="s">
        <v>65</v>
      </c>
      <c r="I15" s="248" t="s">
        <v>65</v>
      </c>
      <c r="J15" s="248" t="s">
        <v>65</v>
      </c>
      <c r="K15" s="248" t="s">
        <v>65</v>
      </c>
    </row>
    <row r="16" s="1" customFormat="1" ht="31" customHeight="1" spans="2:12">
      <c r="B16" s="255"/>
      <c r="C16" s="121" t="s">
        <v>44</v>
      </c>
      <c r="D16" s="58">
        <v>11</v>
      </c>
      <c r="E16" s="64" t="s">
        <v>60</v>
      </c>
      <c r="F16" s="256" t="s">
        <v>66</v>
      </c>
      <c r="G16" s="256" t="s">
        <v>66</v>
      </c>
      <c r="H16" s="256" t="s">
        <v>66</v>
      </c>
      <c r="I16" s="256" t="s">
        <v>66</v>
      </c>
      <c r="J16" s="256" t="s">
        <v>66</v>
      </c>
      <c r="K16" s="256" t="s">
        <v>66</v>
      </c>
    </row>
    <row r="17" s="1" customFormat="1" ht="24" customHeight="1" spans="2:11">
      <c r="B17" s="255" t="s">
        <v>46</v>
      </c>
      <c r="C17" s="67" t="s">
        <v>15</v>
      </c>
      <c r="D17" s="58">
        <v>12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257">
        <v>0</v>
      </c>
    </row>
    <row r="18" s="1" customFormat="1" ht="24" customHeight="1" spans="2:11">
      <c r="B18" s="255"/>
      <c r="C18" s="67" t="s">
        <v>47</v>
      </c>
      <c r="D18" s="58">
        <v>13</v>
      </c>
      <c r="E18" s="100">
        <v>0</v>
      </c>
      <c r="F18" s="100">
        <v>0</v>
      </c>
      <c r="G18" s="100">
        <v>0</v>
      </c>
      <c r="H18" s="100">
        <v>0</v>
      </c>
      <c r="I18" s="100">
        <v>0</v>
      </c>
      <c r="J18" s="100">
        <v>0</v>
      </c>
      <c r="K18" s="257">
        <v>0</v>
      </c>
    </row>
    <row r="19" s="1" customFormat="1" ht="24" customHeight="1" spans="2:11">
      <c r="B19" s="255"/>
      <c r="C19" s="67" t="s">
        <v>48</v>
      </c>
      <c r="D19" s="58">
        <v>14</v>
      </c>
      <c r="E19" s="100">
        <v>0</v>
      </c>
      <c r="F19" s="100">
        <v>0</v>
      </c>
      <c r="G19" s="100">
        <v>0</v>
      </c>
      <c r="H19" s="100">
        <v>0</v>
      </c>
      <c r="I19" s="100">
        <v>0</v>
      </c>
      <c r="J19" s="100">
        <v>0</v>
      </c>
      <c r="K19" s="257">
        <v>0</v>
      </c>
    </row>
    <row r="20" s="1" customFormat="1" ht="24" customHeight="1" spans="2:11">
      <c r="B20" s="255"/>
      <c r="C20" s="67" t="s">
        <v>28</v>
      </c>
      <c r="D20" s="58">
        <v>15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0</v>
      </c>
      <c r="K20" s="257">
        <v>0</v>
      </c>
    </row>
    <row r="21" s="1" customFormat="1" ht="30.75" spans="2:11">
      <c r="B21" s="258"/>
      <c r="C21" s="259" t="s">
        <v>49</v>
      </c>
      <c r="D21" s="72">
        <v>16</v>
      </c>
      <c r="E21" s="260">
        <v>0</v>
      </c>
      <c r="F21" s="260">
        <v>0</v>
      </c>
      <c r="G21" s="260">
        <v>0</v>
      </c>
      <c r="H21" s="260">
        <v>0</v>
      </c>
      <c r="I21" s="260">
        <v>0</v>
      </c>
      <c r="J21" s="260">
        <v>0</v>
      </c>
      <c r="K21" s="261">
        <v>0</v>
      </c>
    </row>
  </sheetData>
  <mergeCells count="8">
    <mergeCell ref="B2:K2"/>
    <mergeCell ref="B3:K3"/>
    <mergeCell ref="E4:K4"/>
    <mergeCell ref="B6:B10"/>
    <mergeCell ref="B11:B16"/>
    <mergeCell ref="B17:B21"/>
    <mergeCell ref="D4:D5"/>
    <mergeCell ref="B4:C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6"/>
  <sheetViews>
    <sheetView workbookViewId="0">
      <selection activeCell="G5" sqref="G5:G15"/>
    </sheetView>
  </sheetViews>
  <sheetFormatPr defaultColWidth="8.72727272727273" defaultRowHeight="14" outlineLevelCol="7"/>
  <cols>
    <col min="1" max="1" width="8.72727272727273" style="1"/>
    <col min="2" max="2" width="33.6363636363636" style="1" customWidth="1"/>
    <col min="3" max="3" width="5.90909090909091" style="1" customWidth="1"/>
    <col min="4" max="4" width="24.2727272727273" style="1" customWidth="1"/>
    <col min="5" max="5" width="32.2727272727273" style="1" customWidth="1"/>
    <col min="6" max="6" width="17.7272727272727" style="1" customWidth="1"/>
    <col min="7" max="7" width="26.2727272727273" style="1" customWidth="1"/>
    <col min="8" max="16384" width="8.72727272727273" style="1"/>
  </cols>
  <sheetData>
    <row r="1" s="1" customFormat="1" spans="2:8">
      <c r="G1" s="2" t="str">
        <f>HYPERLINK("#目录!A1","点击返回")</f>
        <v>点击返回</v>
      </c>
    </row>
    <row r="2" s="1" customFormat="1" ht="27.5" spans="2:8">
      <c r="B2" s="233" t="s">
        <v>67</v>
      </c>
      <c r="C2" s="234"/>
      <c r="D2" s="234"/>
      <c r="E2" s="234"/>
      <c r="F2" s="234"/>
      <c r="G2" s="234"/>
      <c r="H2" s="235" t="s">
        <v>68</v>
      </c>
    </row>
    <row r="3" s="1" customFormat="1" ht="28" customHeight="1" spans="2:8">
      <c r="B3" s="236" t="s">
        <v>69</v>
      </c>
      <c r="C3" s="236"/>
      <c r="D3" s="236"/>
      <c r="E3" s="236"/>
      <c r="F3" s="236"/>
      <c r="G3" s="236"/>
    </row>
    <row r="4" s="1" customFormat="1" ht="25" customHeight="1" spans="2:8">
      <c r="B4" s="76" t="s">
        <v>70</v>
      </c>
      <c r="C4" s="78" t="s">
        <v>9</v>
      </c>
      <c r="D4" s="243" t="s">
        <v>10</v>
      </c>
      <c r="E4" s="80" t="s">
        <v>11</v>
      </c>
      <c r="F4" s="80" t="s">
        <v>12</v>
      </c>
      <c r="G4" s="82" t="s">
        <v>13</v>
      </c>
    </row>
    <row r="5" s="1" customFormat="1" ht="25" customHeight="1" spans="2:8">
      <c r="B5" s="83" t="s">
        <v>71</v>
      </c>
      <c r="C5" s="244">
        <v>1</v>
      </c>
      <c r="D5" s="245" t="s">
        <v>72</v>
      </c>
      <c r="E5" s="245" t="s">
        <v>72</v>
      </c>
      <c r="F5" s="245" t="s">
        <v>72</v>
      </c>
      <c r="G5" s="246" t="s">
        <v>24</v>
      </c>
    </row>
    <row r="6" s="1" customFormat="1" ht="25" customHeight="1" spans="2:8">
      <c r="B6" s="88" t="s">
        <v>73</v>
      </c>
      <c r="C6" s="244">
        <v>2</v>
      </c>
      <c r="D6" s="245" t="s">
        <v>21</v>
      </c>
      <c r="E6" s="247" t="s">
        <v>22</v>
      </c>
      <c r="F6" s="92" t="s">
        <v>23</v>
      </c>
      <c r="G6" s="246" t="s">
        <v>24</v>
      </c>
    </row>
    <row r="7" s="1" customFormat="1" ht="25" customHeight="1" spans="2:8">
      <c r="B7" s="88" t="s">
        <v>74</v>
      </c>
      <c r="C7" s="244">
        <v>3</v>
      </c>
      <c r="D7" s="245" t="s">
        <v>26</v>
      </c>
      <c r="E7" s="247" t="s">
        <v>27</v>
      </c>
      <c r="F7" s="92" t="s">
        <v>23</v>
      </c>
      <c r="G7" s="246" t="s">
        <v>24</v>
      </c>
    </row>
    <row r="8" s="1" customFormat="1" ht="25" customHeight="1" spans="2:8">
      <c r="B8" s="88" t="s">
        <v>75</v>
      </c>
      <c r="C8" s="244">
        <v>4</v>
      </c>
      <c r="D8" s="245" t="s">
        <v>76</v>
      </c>
      <c r="E8" s="247" t="s">
        <v>77</v>
      </c>
      <c r="F8" s="92" t="s">
        <v>23</v>
      </c>
      <c r="G8" s="246" t="s">
        <v>24</v>
      </c>
    </row>
    <row r="9" s="1" customFormat="1" ht="25" customHeight="1" spans="2:8">
      <c r="B9" s="88" t="s">
        <v>78</v>
      </c>
      <c r="C9" s="244">
        <v>5</v>
      </c>
      <c r="D9" s="130" t="s">
        <v>19</v>
      </c>
      <c r="E9" s="130" t="s">
        <v>19</v>
      </c>
      <c r="F9" s="130" t="s">
        <v>19</v>
      </c>
      <c r="G9" s="130" t="s">
        <v>19</v>
      </c>
    </row>
    <row r="10" s="1" customFormat="1" ht="25" customHeight="1" spans="2:8">
      <c r="B10" s="88" t="s">
        <v>79</v>
      </c>
      <c r="C10" s="244">
        <v>6</v>
      </c>
      <c r="D10" s="245" t="s">
        <v>35</v>
      </c>
      <c r="E10" s="247" t="s">
        <v>36</v>
      </c>
      <c r="F10" s="92" t="s">
        <v>23</v>
      </c>
      <c r="G10" s="246" t="s">
        <v>24</v>
      </c>
    </row>
    <row r="11" s="1" customFormat="1" ht="25" customHeight="1" spans="2:8">
      <c r="B11" s="83" t="s">
        <v>80</v>
      </c>
      <c r="C11" s="244">
        <v>7</v>
      </c>
      <c r="D11" s="248" t="s">
        <v>81</v>
      </c>
      <c r="E11" s="248" t="s">
        <v>81</v>
      </c>
      <c r="F11" s="248" t="s">
        <v>81</v>
      </c>
      <c r="G11" s="246" t="s">
        <v>24</v>
      </c>
    </row>
    <row r="12" s="1" customFormat="1" ht="25" customHeight="1" spans="2:8">
      <c r="B12" s="88" t="s">
        <v>82</v>
      </c>
      <c r="C12" s="244">
        <v>8</v>
      </c>
      <c r="D12" s="245" t="s">
        <v>41</v>
      </c>
      <c r="E12" s="247" t="s">
        <v>42</v>
      </c>
      <c r="F12" s="92" t="s">
        <v>23</v>
      </c>
      <c r="G12" s="246" t="s">
        <v>24</v>
      </c>
    </row>
    <row r="13" s="1" customFormat="1" ht="25" customHeight="1" spans="2:8">
      <c r="B13" s="88" t="s">
        <v>83</v>
      </c>
      <c r="C13" s="244">
        <v>9</v>
      </c>
      <c r="D13" s="245" t="s">
        <v>84</v>
      </c>
      <c r="E13" s="247" t="s">
        <v>85</v>
      </c>
      <c r="F13" s="92" t="s">
        <v>23</v>
      </c>
      <c r="G13" s="246" t="s">
        <v>24</v>
      </c>
    </row>
    <row r="14" s="1" customFormat="1" ht="25" customHeight="1" spans="2:8">
      <c r="B14" s="88" t="s">
        <v>86</v>
      </c>
      <c r="C14" s="244">
        <v>10</v>
      </c>
      <c r="D14" s="245" t="s">
        <v>87</v>
      </c>
      <c r="E14" s="247" t="s">
        <v>88</v>
      </c>
      <c r="F14" s="92" t="s">
        <v>23</v>
      </c>
      <c r="G14" s="246" t="s">
        <v>24</v>
      </c>
    </row>
    <row r="15" s="1" customFormat="1" ht="25" customHeight="1" spans="2:8">
      <c r="B15" s="88" t="s">
        <v>89</v>
      </c>
      <c r="C15" s="244">
        <v>11</v>
      </c>
      <c r="D15" s="245" t="s">
        <v>90</v>
      </c>
      <c r="E15" s="247" t="s">
        <v>91</v>
      </c>
      <c r="F15" s="92" t="s">
        <v>23</v>
      </c>
      <c r="G15" s="246" t="s">
        <v>24</v>
      </c>
    </row>
    <row r="16" s="1" customFormat="1" ht="25" customHeight="1" spans="2:8">
      <c r="B16" s="106" t="s">
        <v>92</v>
      </c>
      <c r="C16" s="108">
        <v>12</v>
      </c>
      <c r="D16" s="249" t="s">
        <v>93</v>
      </c>
      <c r="E16" s="250" t="s">
        <v>93</v>
      </c>
      <c r="F16" s="251" t="s">
        <v>93</v>
      </c>
      <c r="G16" s="246" t="s">
        <v>24</v>
      </c>
    </row>
  </sheetData>
  <mergeCells count="2">
    <mergeCell ref="B2:G2"/>
    <mergeCell ref="B3:G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7"/>
  <sheetViews>
    <sheetView workbookViewId="0">
      <selection activeCell="G1" sqref="G1"/>
    </sheetView>
  </sheetViews>
  <sheetFormatPr defaultColWidth="8.72727272727273" defaultRowHeight="14"/>
  <cols>
    <col min="1" max="1" width="8.72727272727273" style="1"/>
    <col min="2" max="2" width="31.2727272727273" style="1" customWidth="1"/>
    <col min="3" max="3" width="5.90909090909091" style="1" customWidth="1"/>
    <col min="4" max="10" width="11.3636363636364" style="1" customWidth="1"/>
    <col min="11" max="16384" width="8.72727272727273" style="1"/>
  </cols>
  <sheetData>
    <row r="1" s="1" customFormat="1" spans="2:11">
      <c r="G1" s="2" t="str">
        <f>HYPERLINK("#目录!A1","点击返回")</f>
        <v>点击返回</v>
      </c>
    </row>
    <row r="2" s="1" customFormat="1" ht="27.5" spans="2:11">
      <c r="B2" s="233" t="s">
        <v>94</v>
      </c>
      <c r="C2" s="234"/>
      <c r="D2" s="234"/>
      <c r="E2" s="234"/>
      <c r="F2" s="234"/>
      <c r="G2" s="234"/>
      <c r="H2" s="234"/>
      <c r="I2" s="234"/>
      <c r="J2" s="234"/>
      <c r="K2" s="235" t="s">
        <v>95</v>
      </c>
    </row>
    <row r="3" s="1" customFormat="1" ht="32" customHeight="1" spans="2:11">
      <c r="B3" s="236" t="s">
        <v>69</v>
      </c>
      <c r="C3" s="236"/>
      <c r="D3" s="236"/>
      <c r="E3" s="236"/>
      <c r="F3" s="236"/>
      <c r="G3" s="236"/>
      <c r="H3" s="236"/>
      <c r="I3" s="236"/>
      <c r="J3" s="236"/>
    </row>
    <row r="4" s="1" customFormat="1" ht="24" customHeight="1" spans="2:11">
      <c r="B4" s="53" t="s">
        <v>70</v>
      </c>
      <c r="C4" s="54" t="s">
        <v>9</v>
      </c>
      <c r="D4" s="237" t="s">
        <v>12</v>
      </c>
      <c r="E4" s="237"/>
      <c r="F4" s="237"/>
      <c r="G4" s="237"/>
      <c r="H4" s="237"/>
      <c r="I4" s="237"/>
      <c r="J4" s="238"/>
    </row>
    <row r="5" s="1" customFormat="1" ht="24" customHeight="1" spans="2:11">
      <c r="B5" s="57"/>
      <c r="C5" s="58"/>
      <c r="D5" s="58" t="s">
        <v>53</v>
      </c>
      <c r="E5" s="59" t="s">
        <v>54</v>
      </c>
      <c r="F5" s="59" t="s">
        <v>55</v>
      </c>
      <c r="G5" s="59" t="s">
        <v>56</v>
      </c>
      <c r="H5" s="60" t="s">
        <v>57</v>
      </c>
      <c r="I5" s="60" t="s">
        <v>58</v>
      </c>
      <c r="J5" s="61" t="s">
        <v>59</v>
      </c>
    </row>
    <row r="6" s="1" customFormat="1" ht="24" customHeight="1" spans="2:11">
      <c r="B6" s="62" t="s">
        <v>71</v>
      </c>
      <c r="C6" s="58">
        <v>1</v>
      </c>
      <c r="D6" s="64" t="s">
        <v>96</v>
      </c>
      <c r="E6" s="64" t="s">
        <v>72</v>
      </c>
      <c r="F6" s="64" t="s">
        <v>72</v>
      </c>
      <c r="G6" s="64" t="s">
        <v>72</v>
      </c>
      <c r="H6" s="64" t="s">
        <v>72</v>
      </c>
      <c r="I6" s="64" t="s">
        <v>72</v>
      </c>
      <c r="J6" s="65" t="s">
        <v>72</v>
      </c>
    </row>
    <row r="7" s="1" customFormat="1" ht="24" customHeight="1" spans="2:11">
      <c r="B7" s="66" t="s">
        <v>73</v>
      </c>
      <c r="C7" s="58">
        <v>2</v>
      </c>
      <c r="D7" s="64" t="s">
        <v>96</v>
      </c>
      <c r="E7" s="64" t="s">
        <v>97</v>
      </c>
      <c r="F7" s="64" t="s">
        <v>97</v>
      </c>
      <c r="G7" s="64" t="s">
        <v>97</v>
      </c>
      <c r="H7" s="64" t="s">
        <v>97</v>
      </c>
      <c r="I7" s="64" t="s">
        <v>97</v>
      </c>
      <c r="J7" s="65" t="s">
        <v>97</v>
      </c>
    </row>
    <row r="8" s="1" customFormat="1" ht="24" customHeight="1" spans="2:11">
      <c r="B8" s="66" t="s">
        <v>74</v>
      </c>
      <c r="C8" s="58">
        <v>3</v>
      </c>
      <c r="D8" s="64" t="s">
        <v>96</v>
      </c>
      <c r="E8" s="64" t="s">
        <v>97</v>
      </c>
      <c r="F8" s="64" t="s">
        <v>97</v>
      </c>
      <c r="G8" s="64" t="s">
        <v>97</v>
      </c>
      <c r="H8" s="64" t="s">
        <v>97</v>
      </c>
      <c r="I8" s="64" t="s">
        <v>97</v>
      </c>
      <c r="J8" s="65" t="s">
        <v>97</v>
      </c>
    </row>
    <row r="9" s="1" customFormat="1" ht="24" customHeight="1" spans="2:11">
      <c r="B9" s="66" t="s">
        <v>75</v>
      </c>
      <c r="C9" s="58">
        <v>4</v>
      </c>
      <c r="D9" s="64" t="s">
        <v>96</v>
      </c>
      <c r="E9" s="64" t="s">
        <v>97</v>
      </c>
      <c r="F9" s="64" t="s">
        <v>97</v>
      </c>
      <c r="G9" s="64" t="s">
        <v>97</v>
      </c>
      <c r="H9" s="64" t="s">
        <v>97</v>
      </c>
      <c r="I9" s="64" t="s">
        <v>97</v>
      </c>
      <c r="J9" s="65" t="s">
        <v>97</v>
      </c>
    </row>
    <row r="10" s="1" customFormat="1" ht="24" customHeight="1" spans="2:11">
      <c r="B10" s="66" t="s">
        <v>78</v>
      </c>
      <c r="C10" s="58">
        <v>5</v>
      </c>
      <c r="D10" s="239" t="s">
        <v>98</v>
      </c>
      <c r="E10" s="239" t="s">
        <v>98</v>
      </c>
      <c r="F10" s="239" t="s">
        <v>98</v>
      </c>
      <c r="G10" s="239" t="s">
        <v>98</v>
      </c>
      <c r="H10" s="239" t="s">
        <v>98</v>
      </c>
      <c r="I10" s="239" t="s">
        <v>98</v>
      </c>
      <c r="J10" s="240" t="s">
        <v>98</v>
      </c>
    </row>
    <row r="11" s="1" customFormat="1" ht="24" customHeight="1" spans="2:11">
      <c r="B11" s="66" t="s">
        <v>79</v>
      </c>
      <c r="C11" s="58">
        <v>6</v>
      </c>
      <c r="D11" s="64" t="s">
        <v>96</v>
      </c>
      <c r="E11" s="64" t="s">
        <v>97</v>
      </c>
      <c r="F11" s="64" t="s">
        <v>97</v>
      </c>
      <c r="G11" s="64" t="s">
        <v>97</v>
      </c>
      <c r="H11" s="64" t="s">
        <v>97</v>
      </c>
      <c r="I11" s="64" t="s">
        <v>97</v>
      </c>
      <c r="J11" s="65" t="s">
        <v>97</v>
      </c>
    </row>
    <row r="12" s="1" customFormat="1" ht="24" customHeight="1" spans="2:11">
      <c r="B12" s="62" t="s">
        <v>80</v>
      </c>
      <c r="C12" s="58">
        <v>7</v>
      </c>
      <c r="D12" s="64" t="s">
        <v>96</v>
      </c>
      <c r="E12" s="64" t="s">
        <v>81</v>
      </c>
      <c r="F12" s="64" t="s">
        <v>81</v>
      </c>
      <c r="G12" s="64" t="s">
        <v>81</v>
      </c>
      <c r="H12" s="64" t="s">
        <v>81</v>
      </c>
      <c r="I12" s="64" t="s">
        <v>81</v>
      </c>
      <c r="J12" s="65" t="s">
        <v>81</v>
      </c>
    </row>
    <row r="13" s="1" customFormat="1" ht="24" customHeight="1" spans="2:11">
      <c r="B13" s="66" t="s">
        <v>82</v>
      </c>
      <c r="C13" s="58">
        <v>8</v>
      </c>
      <c r="D13" s="64" t="s">
        <v>96</v>
      </c>
      <c r="E13" s="64" t="s">
        <v>97</v>
      </c>
      <c r="F13" s="64" t="s">
        <v>97</v>
      </c>
      <c r="G13" s="64" t="s">
        <v>97</v>
      </c>
      <c r="H13" s="64" t="s">
        <v>97</v>
      </c>
      <c r="I13" s="64" t="s">
        <v>97</v>
      </c>
      <c r="J13" s="65" t="s">
        <v>97</v>
      </c>
    </row>
    <row r="14" s="1" customFormat="1" ht="24" customHeight="1" spans="2:11">
      <c r="B14" s="66" t="s">
        <v>83</v>
      </c>
      <c r="C14" s="58">
        <v>9</v>
      </c>
      <c r="D14" s="64" t="s">
        <v>96</v>
      </c>
      <c r="E14" s="64" t="s">
        <v>97</v>
      </c>
      <c r="F14" s="64" t="s">
        <v>97</v>
      </c>
      <c r="G14" s="64" t="s">
        <v>97</v>
      </c>
      <c r="H14" s="64" t="s">
        <v>97</v>
      </c>
      <c r="I14" s="64" t="s">
        <v>97</v>
      </c>
      <c r="J14" s="65" t="s">
        <v>97</v>
      </c>
    </row>
    <row r="15" s="1" customFormat="1" ht="24" customHeight="1" spans="2:11">
      <c r="B15" s="66" t="s">
        <v>86</v>
      </c>
      <c r="C15" s="58">
        <v>10</v>
      </c>
      <c r="D15" s="64" t="s">
        <v>96</v>
      </c>
      <c r="E15" s="64" t="s">
        <v>97</v>
      </c>
      <c r="F15" s="64" t="s">
        <v>97</v>
      </c>
      <c r="G15" s="64" t="s">
        <v>97</v>
      </c>
      <c r="H15" s="64" t="s">
        <v>97</v>
      </c>
      <c r="I15" s="64" t="s">
        <v>97</v>
      </c>
      <c r="J15" s="65" t="s">
        <v>97</v>
      </c>
    </row>
    <row r="16" s="1" customFormat="1" ht="24" customHeight="1" spans="2:11">
      <c r="B16" s="66" t="s">
        <v>89</v>
      </c>
      <c r="C16" s="58">
        <v>11</v>
      </c>
      <c r="D16" s="64" t="s">
        <v>96</v>
      </c>
      <c r="E16" s="64" t="s">
        <v>97</v>
      </c>
      <c r="F16" s="64" t="s">
        <v>97</v>
      </c>
      <c r="G16" s="64" t="s">
        <v>97</v>
      </c>
      <c r="H16" s="64" t="s">
        <v>97</v>
      </c>
      <c r="I16" s="64" t="s">
        <v>97</v>
      </c>
      <c r="J16" s="65" t="s">
        <v>97</v>
      </c>
    </row>
    <row r="17" s="1" customFormat="1" ht="24" customHeight="1" spans="2:10">
      <c r="B17" s="70" t="s">
        <v>92</v>
      </c>
      <c r="C17" s="72">
        <v>12</v>
      </c>
      <c r="D17" s="241" t="s">
        <v>93</v>
      </c>
      <c r="E17" s="241" t="s">
        <v>93</v>
      </c>
      <c r="F17" s="241" t="s">
        <v>93</v>
      </c>
      <c r="G17" s="241" t="s">
        <v>93</v>
      </c>
      <c r="H17" s="241" t="s">
        <v>93</v>
      </c>
      <c r="I17" s="241" t="s">
        <v>93</v>
      </c>
      <c r="J17" s="242" t="s">
        <v>93</v>
      </c>
    </row>
  </sheetData>
  <mergeCells count="5">
    <mergeCell ref="B2:J2"/>
    <mergeCell ref="B3:J3"/>
    <mergeCell ref="D4:J4"/>
    <mergeCell ref="B4:B5"/>
    <mergeCell ref="C4:C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F6" sqref="F6"/>
    </sheetView>
  </sheetViews>
  <sheetFormatPr defaultColWidth="9.81818181818182" defaultRowHeight="15"/>
  <cols>
    <col min="1" max="1" width="4.03636363636364" style="178" customWidth="1"/>
    <col min="2" max="2" width="5.01818181818182" style="178" customWidth="1"/>
    <col min="3" max="3" width="2.07272727272727" style="178" customWidth="1"/>
    <col min="4" max="4" width="19.4545454545455" style="178" customWidth="1"/>
    <col min="5" max="5" width="16.5454545454545" style="178" customWidth="1"/>
    <col min="6" max="6" width="22.6363636363636" style="178" customWidth="1"/>
    <col min="7" max="11" width="15.3818181818182" style="178" customWidth="1"/>
    <col min="12" max="16384" width="9.81818181818182" style="178"/>
  </cols>
  <sheetData>
    <row r="1" s="178" customFormat="1" ht="33" customHeight="1" spans="1:14">
      <c r="A1" s="203" t="s">
        <v>99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N1" s="180" t="str">
        <f>HYPERLINK("#目录!A1","点击返回")</f>
        <v>点击返回</v>
      </c>
    </row>
    <row r="2" s="178" customFormat="1" ht="29" customHeight="1" spans="1:14">
      <c r="A2" s="204" t="s">
        <v>100</v>
      </c>
      <c r="B2" s="204"/>
      <c r="C2" s="204"/>
      <c r="D2" s="204"/>
      <c r="E2" s="204"/>
      <c r="F2" s="204"/>
      <c r="G2" s="204" t="s">
        <v>101</v>
      </c>
      <c r="H2" s="204"/>
      <c r="I2" s="205"/>
      <c r="J2" s="206" t="s">
        <v>102</v>
      </c>
      <c r="K2" s="206"/>
    </row>
    <row r="3" s="178" customFormat="1" ht="17.7" customHeight="1" spans="1:14">
      <c r="A3" s="207" t="s">
        <v>8</v>
      </c>
      <c r="B3" s="207"/>
      <c r="C3" s="207"/>
      <c r="D3" s="207"/>
      <c r="E3" s="208" t="s">
        <v>53</v>
      </c>
      <c r="F3" s="207" t="s">
        <v>54</v>
      </c>
      <c r="G3" s="207" t="s">
        <v>55</v>
      </c>
      <c r="H3" s="207" t="s">
        <v>56</v>
      </c>
      <c r="I3" s="207" t="s">
        <v>57</v>
      </c>
      <c r="J3" s="207" t="s">
        <v>58</v>
      </c>
      <c r="K3" s="207" t="s">
        <v>59</v>
      </c>
    </row>
    <row r="4" s="178" customFormat="1" ht="17.4" customHeight="1" spans="1:14">
      <c r="A4" s="209" t="s">
        <v>14</v>
      </c>
      <c r="B4" s="210" t="s">
        <v>103</v>
      </c>
      <c r="C4" s="210"/>
      <c r="D4" s="210"/>
      <c r="E4" s="211" t="s">
        <v>104</v>
      </c>
      <c r="F4" s="212" t="s">
        <v>105</v>
      </c>
      <c r="G4" s="212" t="s">
        <v>105</v>
      </c>
      <c r="H4" s="212" t="s">
        <v>105</v>
      </c>
      <c r="I4" s="212" t="s">
        <v>105</v>
      </c>
      <c r="J4" s="212" t="s">
        <v>105</v>
      </c>
      <c r="K4" s="212" t="s">
        <v>105</v>
      </c>
    </row>
    <row r="5" s="200" customFormat="1" ht="17.4" customHeight="1" spans="1:14">
      <c r="A5" s="209"/>
      <c r="B5" s="210" t="s">
        <v>106</v>
      </c>
      <c r="C5" s="210"/>
      <c r="D5" s="210"/>
      <c r="E5" s="211" t="s">
        <v>104</v>
      </c>
      <c r="F5" s="213" t="s">
        <v>107</v>
      </c>
      <c r="G5" s="213"/>
      <c r="H5" s="213"/>
      <c r="I5" s="213"/>
      <c r="J5" s="213"/>
      <c r="K5" s="213"/>
    </row>
    <row r="6" s="201" customFormat="1" ht="17.4" customHeight="1" spans="1:14">
      <c r="A6" s="209"/>
      <c r="B6" s="210" t="s">
        <v>108</v>
      </c>
      <c r="C6" s="210"/>
      <c r="D6" s="210"/>
      <c r="E6" s="211" t="s">
        <v>104</v>
      </c>
      <c r="F6" s="212" t="s">
        <v>109</v>
      </c>
      <c r="G6" s="212"/>
      <c r="H6" s="212"/>
      <c r="I6" s="212"/>
      <c r="J6" s="212"/>
      <c r="K6" s="212"/>
    </row>
    <row r="7" s="178" customFormat="1" ht="17.4" customHeight="1" spans="1:14">
      <c r="A7" s="209"/>
      <c r="B7" s="214" t="s">
        <v>110</v>
      </c>
      <c r="C7" s="214"/>
      <c r="D7" s="214"/>
      <c r="E7" s="211"/>
      <c r="F7" s="215" t="s">
        <v>111</v>
      </c>
      <c r="G7" s="215"/>
      <c r="H7" s="215"/>
      <c r="I7" s="215"/>
      <c r="J7" s="215"/>
      <c r="K7" s="215"/>
    </row>
    <row r="8" s="200" customFormat="1" ht="17.4" customHeight="1" spans="1:14">
      <c r="A8" s="209"/>
      <c r="B8" s="210" t="s">
        <v>112</v>
      </c>
      <c r="C8" s="210"/>
      <c r="D8" s="210"/>
      <c r="E8" s="211" t="s">
        <v>104</v>
      </c>
      <c r="F8" s="212" t="s">
        <v>113</v>
      </c>
      <c r="G8" s="212"/>
      <c r="H8" s="212"/>
      <c r="I8" s="212"/>
      <c r="J8" s="212"/>
      <c r="K8" s="212"/>
    </row>
    <row r="9" s="178" customFormat="1" ht="17.4" customHeight="1" spans="1:14">
      <c r="A9" s="209"/>
      <c r="B9" s="210" t="s">
        <v>114</v>
      </c>
      <c r="C9" s="210"/>
      <c r="D9" s="210"/>
      <c r="E9" s="211"/>
      <c r="F9" s="216" t="s">
        <v>115</v>
      </c>
      <c r="G9" s="216"/>
      <c r="H9" s="216"/>
      <c r="I9" s="216"/>
      <c r="J9" s="216"/>
      <c r="K9" s="216"/>
    </row>
    <row r="10" s="200" customFormat="1" ht="17.4" customHeight="1" spans="1:14">
      <c r="A10" s="209"/>
      <c r="B10" s="210" t="s">
        <v>116</v>
      </c>
      <c r="C10" s="210"/>
      <c r="D10" s="210"/>
      <c r="E10" s="211" t="s">
        <v>104</v>
      </c>
      <c r="F10" s="213" t="s">
        <v>107</v>
      </c>
      <c r="G10" s="217"/>
      <c r="H10" s="217"/>
      <c r="I10" s="217"/>
      <c r="J10" s="217"/>
      <c r="K10" s="217"/>
    </row>
    <row r="11" s="201" customFormat="1" ht="17.4" customHeight="1" spans="1:14">
      <c r="A11" s="209"/>
      <c r="B11" s="210" t="s">
        <v>117</v>
      </c>
      <c r="C11" s="210"/>
      <c r="D11" s="210"/>
      <c r="E11" s="211" t="s">
        <v>104</v>
      </c>
      <c r="F11" s="212" t="s">
        <v>118</v>
      </c>
      <c r="G11" s="212"/>
      <c r="H11" s="212"/>
      <c r="I11" s="212"/>
      <c r="J11" s="212"/>
      <c r="K11" s="212"/>
    </row>
    <row r="12" s="178" customFormat="1" ht="17.7" customHeight="1" spans="1:14">
      <c r="A12" s="209"/>
      <c r="B12" s="210" t="s">
        <v>119</v>
      </c>
      <c r="C12" s="210"/>
      <c r="D12" s="210"/>
      <c r="E12" s="211"/>
      <c r="F12" s="215"/>
      <c r="G12" s="215"/>
      <c r="H12" s="215"/>
      <c r="I12" s="215"/>
      <c r="J12" s="215"/>
      <c r="K12" s="215"/>
    </row>
    <row r="13" s="200" customFormat="1" ht="17.4" customHeight="1" spans="1:14">
      <c r="A13" s="209"/>
      <c r="B13" s="210" t="s">
        <v>120</v>
      </c>
      <c r="C13" s="210"/>
      <c r="D13" s="210"/>
      <c r="E13" s="211" t="s">
        <v>104</v>
      </c>
      <c r="F13" s="212"/>
      <c r="G13" s="212"/>
      <c r="H13" s="212"/>
      <c r="I13" s="212"/>
      <c r="J13" s="212"/>
      <c r="K13" s="212"/>
    </row>
    <row r="14" s="178" customFormat="1" ht="17.4" customHeight="1" spans="1:14">
      <c r="A14" s="209"/>
      <c r="B14" s="210" t="s">
        <v>121</v>
      </c>
      <c r="C14" s="210"/>
      <c r="D14" s="210"/>
      <c r="E14" s="211"/>
      <c r="F14" s="216"/>
      <c r="G14" s="216"/>
      <c r="H14" s="216"/>
      <c r="I14" s="216"/>
      <c r="J14" s="216"/>
      <c r="K14" s="216"/>
    </row>
    <row r="15" s="178" customFormat="1" ht="17.4" customHeight="1" spans="1:14">
      <c r="A15" s="209"/>
      <c r="B15" s="218" t="s">
        <v>63</v>
      </c>
      <c r="C15" s="219"/>
      <c r="D15" s="220"/>
      <c r="E15" s="211" t="s">
        <v>104</v>
      </c>
      <c r="F15" s="221" t="s">
        <v>122</v>
      </c>
      <c r="G15" s="222"/>
      <c r="H15" s="222"/>
      <c r="I15" s="221"/>
      <c r="J15" s="221"/>
      <c r="K15" s="221"/>
    </row>
    <row r="16" s="178" customFormat="1" ht="17.7" customHeight="1" spans="1:14">
      <c r="A16" s="209"/>
      <c r="B16" s="210" t="s">
        <v>123</v>
      </c>
      <c r="C16" s="210"/>
      <c r="D16" s="210"/>
      <c r="E16" s="211" t="s">
        <v>104</v>
      </c>
      <c r="F16" s="211" t="s">
        <v>124</v>
      </c>
      <c r="G16" s="211"/>
      <c r="H16" s="211"/>
      <c r="I16" s="211"/>
      <c r="J16" s="211"/>
      <c r="K16" s="211"/>
    </row>
    <row r="17" s="178" customFormat="1" ht="17.4" customHeight="1" spans="1:11">
      <c r="A17" s="209" t="s">
        <v>30</v>
      </c>
      <c r="B17" s="210" t="s">
        <v>103</v>
      </c>
      <c r="C17" s="210"/>
      <c r="D17" s="210"/>
      <c r="E17" s="211" t="s">
        <v>104</v>
      </c>
      <c r="F17" s="212" t="s">
        <v>105</v>
      </c>
      <c r="G17" s="212" t="s">
        <v>105</v>
      </c>
      <c r="H17" s="212" t="s">
        <v>105</v>
      </c>
      <c r="I17" s="212" t="s">
        <v>105</v>
      </c>
      <c r="J17" s="212" t="s">
        <v>105</v>
      </c>
      <c r="K17" s="212" t="s">
        <v>105</v>
      </c>
    </row>
    <row r="18" s="200" customFormat="1" ht="17.4" customHeight="1" spans="1:11">
      <c r="A18" s="209"/>
      <c r="B18" s="210" t="s">
        <v>125</v>
      </c>
      <c r="C18" s="210"/>
      <c r="D18" s="210"/>
      <c r="E18" s="211" t="s">
        <v>104</v>
      </c>
      <c r="F18" s="217"/>
      <c r="G18" s="217"/>
      <c r="H18" s="217"/>
      <c r="I18" s="217"/>
      <c r="J18" s="217"/>
      <c r="K18" s="217"/>
    </row>
    <row r="19" s="201" customFormat="1" ht="17.4" customHeight="1" spans="1:11">
      <c r="A19" s="209"/>
      <c r="B19" s="210" t="s">
        <v>126</v>
      </c>
      <c r="C19" s="210"/>
      <c r="D19" s="210"/>
      <c r="E19" s="211" t="s">
        <v>104</v>
      </c>
      <c r="F19" s="212" t="s">
        <v>127</v>
      </c>
      <c r="G19" s="212"/>
      <c r="H19" s="212"/>
      <c r="I19" s="212"/>
      <c r="J19" s="212"/>
      <c r="K19" s="212"/>
    </row>
    <row r="20" s="178" customFormat="1" ht="17.4" customHeight="1" spans="1:11">
      <c r="A20" s="209"/>
      <c r="B20" s="210" t="s">
        <v>128</v>
      </c>
      <c r="C20" s="210"/>
      <c r="D20" s="210"/>
      <c r="E20" s="211"/>
      <c r="F20" s="215"/>
      <c r="G20" s="215"/>
      <c r="H20" s="215"/>
      <c r="I20" s="215"/>
      <c r="J20" s="215"/>
      <c r="K20" s="215"/>
    </row>
    <row r="21" s="200" customFormat="1" ht="17.7" customHeight="1" spans="1:11">
      <c r="A21" s="209"/>
      <c r="B21" s="210" t="s">
        <v>129</v>
      </c>
      <c r="C21" s="210"/>
      <c r="D21" s="210"/>
      <c r="E21" s="211" t="s">
        <v>104</v>
      </c>
      <c r="F21" s="212"/>
      <c r="G21" s="212"/>
      <c r="H21" s="212"/>
      <c r="I21" s="212"/>
      <c r="J21" s="212"/>
      <c r="K21" s="212"/>
    </row>
    <row r="22" s="178" customFormat="1" ht="17.4" customHeight="1" spans="1:11">
      <c r="A22" s="209"/>
      <c r="B22" s="210" t="s">
        <v>130</v>
      </c>
      <c r="C22" s="210"/>
      <c r="D22" s="210"/>
      <c r="E22" s="211"/>
      <c r="F22" s="216"/>
      <c r="G22" s="216"/>
      <c r="H22" s="216"/>
      <c r="I22" s="216"/>
      <c r="J22" s="216"/>
      <c r="K22" s="216"/>
    </row>
    <row r="23" s="200" customFormat="1" ht="16.5" customHeight="1" spans="1:11">
      <c r="A23" s="209"/>
      <c r="B23" s="210" t="s">
        <v>131</v>
      </c>
      <c r="C23" s="210"/>
      <c r="D23" s="210"/>
      <c r="E23" s="211" t="s">
        <v>104</v>
      </c>
      <c r="F23" s="217"/>
      <c r="G23" s="217"/>
      <c r="H23" s="217"/>
      <c r="I23" s="217"/>
      <c r="J23" s="217"/>
      <c r="K23" s="217"/>
    </row>
    <row r="24" s="178" customFormat="1" ht="17.4" customHeight="1" spans="1:11">
      <c r="A24" s="209"/>
      <c r="B24" s="210" t="s">
        <v>132</v>
      </c>
      <c r="C24" s="210"/>
      <c r="D24" s="210"/>
      <c r="E24" s="211" t="s">
        <v>104</v>
      </c>
      <c r="F24" s="223" t="s">
        <v>133</v>
      </c>
      <c r="G24" s="223"/>
      <c r="H24" s="223"/>
      <c r="I24" s="223"/>
      <c r="J24" s="223"/>
      <c r="K24" s="223"/>
    </row>
    <row r="25" s="178" customFormat="1" ht="17.4" customHeight="1" spans="1:11">
      <c r="A25" s="209"/>
      <c r="B25" s="210" t="s">
        <v>134</v>
      </c>
      <c r="C25" s="210"/>
      <c r="D25" s="210"/>
      <c r="E25" s="211"/>
      <c r="F25" s="215"/>
      <c r="G25" s="215"/>
      <c r="H25" s="215"/>
      <c r="I25" s="215"/>
      <c r="J25" s="215"/>
      <c r="K25" s="215"/>
    </row>
    <row r="26" s="200" customFormat="1" ht="17.4" customHeight="1" spans="1:11">
      <c r="A26" s="209"/>
      <c r="B26" s="210" t="s">
        <v>135</v>
      </c>
      <c r="C26" s="210"/>
      <c r="D26" s="210"/>
      <c r="E26" s="211" t="s">
        <v>104</v>
      </c>
      <c r="F26" s="212"/>
      <c r="G26" s="212"/>
      <c r="H26" s="212"/>
      <c r="I26" s="212"/>
      <c r="J26" s="212"/>
      <c r="K26" s="212"/>
    </row>
    <row r="27" s="178" customFormat="1" ht="17.4" customHeight="1" spans="1:11">
      <c r="A27" s="209"/>
      <c r="B27" s="210" t="s">
        <v>136</v>
      </c>
      <c r="C27" s="210"/>
      <c r="D27" s="210"/>
      <c r="E27" s="211"/>
      <c r="F27" s="216"/>
      <c r="G27" s="216"/>
      <c r="H27" s="216"/>
      <c r="I27" s="216"/>
      <c r="J27" s="216"/>
      <c r="K27" s="216"/>
    </row>
    <row r="28" s="178" customFormat="1" ht="17.4" customHeight="1" spans="1:11">
      <c r="A28" s="209"/>
      <c r="B28" s="210" t="s">
        <v>40</v>
      </c>
      <c r="C28" s="210"/>
      <c r="D28" s="210"/>
      <c r="E28" s="211" t="s">
        <v>104</v>
      </c>
      <c r="F28" s="221" t="s">
        <v>137</v>
      </c>
      <c r="G28" s="221"/>
      <c r="H28" s="221"/>
      <c r="I28" s="221"/>
      <c r="J28" s="221"/>
      <c r="K28" s="221"/>
    </row>
    <row r="29" s="202" customFormat="1" ht="17.4" customHeight="1" spans="1:11">
      <c r="A29" s="209"/>
      <c r="B29" s="210" t="s">
        <v>123</v>
      </c>
      <c r="C29" s="210"/>
      <c r="D29" s="210"/>
      <c r="E29" s="211" t="s">
        <v>104</v>
      </c>
      <c r="F29" s="223" t="s">
        <v>138</v>
      </c>
      <c r="G29" s="223"/>
      <c r="H29" s="223"/>
      <c r="I29" s="223"/>
      <c r="J29" s="223"/>
      <c r="K29" s="223"/>
    </row>
    <row r="30" s="178" customFormat="1" ht="17.4" customHeight="1" spans="1:11">
      <c r="A30" s="209"/>
      <c r="B30" s="210" t="s">
        <v>139</v>
      </c>
      <c r="C30" s="210"/>
      <c r="D30" s="210"/>
      <c r="E30" s="211" t="s">
        <v>104</v>
      </c>
      <c r="F30" s="212" t="s">
        <v>140</v>
      </c>
      <c r="G30" s="212"/>
      <c r="H30" s="212"/>
      <c r="I30" s="212"/>
      <c r="J30" s="212"/>
      <c r="K30" s="212"/>
    </row>
    <row r="31" s="178" customFormat="1" ht="17.4" customHeight="1" spans="1:11">
      <c r="A31" s="209"/>
      <c r="B31" s="210" t="s">
        <v>141</v>
      </c>
      <c r="C31" s="210"/>
      <c r="D31" s="210"/>
      <c r="E31" s="211" t="s">
        <v>104</v>
      </c>
      <c r="F31" s="224" t="s">
        <v>142</v>
      </c>
      <c r="G31" s="224"/>
      <c r="H31" s="224"/>
      <c r="I31" s="224"/>
      <c r="J31" s="224"/>
      <c r="K31" s="224"/>
    </row>
    <row r="32" s="178" customFormat="1" ht="17.4" customHeight="1" spans="1:11">
      <c r="A32" s="225" t="s">
        <v>143</v>
      </c>
      <c r="B32" s="225"/>
      <c r="C32" s="225"/>
      <c r="D32" s="225"/>
      <c r="E32" s="211"/>
      <c r="F32" s="216"/>
      <c r="G32" s="216"/>
      <c r="H32" s="216"/>
      <c r="I32" s="216"/>
      <c r="J32" s="216"/>
      <c r="K32" s="216"/>
    </row>
    <row r="33" s="178" customFormat="1" ht="17.4" customHeight="1" spans="1:11">
      <c r="A33" s="226" t="s">
        <v>144</v>
      </c>
      <c r="B33" s="226"/>
      <c r="C33" s="226"/>
      <c r="D33" s="226"/>
      <c r="E33" s="227"/>
      <c r="F33" s="227"/>
      <c r="G33" s="228" t="s">
        <v>145</v>
      </c>
      <c r="H33" s="228"/>
      <c r="I33" s="229"/>
      <c r="J33" s="229"/>
      <c r="K33" s="230" t="s">
        <v>146</v>
      </c>
    </row>
    <row r="35" s="178" customFormat="1" ht="105" customHeight="1" spans="1:11">
      <c r="A35" s="231" t="s">
        <v>147</v>
      </c>
      <c r="B35" s="232"/>
      <c r="C35" s="232"/>
      <c r="D35" s="232"/>
      <c r="E35" s="232"/>
      <c r="F35" s="232"/>
      <c r="G35" s="232"/>
      <c r="H35" s="232"/>
      <c r="I35" s="232"/>
      <c r="J35" s="232"/>
      <c r="K35" s="232"/>
    </row>
  </sheetData>
  <mergeCells count="39">
    <mergeCell ref="A1:K1"/>
    <mergeCell ref="A2:F2"/>
    <mergeCell ref="G2:H2"/>
    <mergeCell ref="J2:K2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A32:D32"/>
    <mergeCell ref="A33:D33"/>
    <mergeCell ref="G33:H33"/>
    <mergeCell ref="A35:K35"/>
    <mergeCell ref="A4:A16"/>
    <mergeCell ref="A17:A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N1" sqref="N1"/>
    </sheetView>
  </sheetViews>
  <sheetFormatPr defaultColWidth="9.81818181818182" defaultRowHeight="15"/>
  <cols>
    <col min="1" max="1" width="12.5454545454545" style="178" customWidth="1"/>
    <col min="2" max="2" width="16.3636363636364" style="178" customWidth="1"/>
    <col min="3" max="9" width="15.3818181818182" style="178" customWidth="1"/>
    <col min="10" max="16384" width="9.81818181818182" style="178"/>
  </cols>
  <sheetData>
    <row r="1" s="178" customFormat="1" ht="35.1" customHeight="1" spans="1:14">
      <c r="A1" s="179" t="s">
        <v>148</v>
      </c>
      <c r="B1" s="179"/>
      <c r="C1" s="179"/>
      <c r="D1" s="179"/>
      <c r="E1" s="179"/>
      <c r="F1" s="179"/>
      <c r="G1" s="179"/>
      <c r="H1" s="179"/>
      <c r="I1" s="179"/>
      <c r="N1" s="180" t="str">
        <f>HYPERLINK("#目录!A1","点击返回")</f>
        <v>点击返回</v>
      </c>
    </row>
    <row r="2" s="178" customFormat="1" ht="24.9" customHeight="1" spans="1:14">
      <c r="A2" s="181" t="s">
        <v>101</v>
      </c>
      <c r="B2" s="181"/>
      <c r="C2" s="181"/>
      <c r="D2" s="181"/>
      <c r="E2" s="181"/>
      <c r="F2" s="181"/>
      <c r="G2" s="181"/>
      <c r="H2" s="181"/>
      <c r="I2" s="181"/>
    </row>
    <row r="3" s="178" customFormat="1" ht="24.9" customHeight="1" spans="1:14">
      <c r="A3" s="182" t="s">
        <v>149</v>
      </c>
      <c r="B3" s="182" t="s">
        <v>150</v>
      </c>
      <c r="C3" s="182"/>
      <c r="D3" s="182"/>
      <c r="E3" s="183" t="s">
        <v>151</v>
      </c>
      <c r="F3" s="183"/>
      <c r="G3" s="183"/>
      <c r="H3" s="183"/>
      <c r="I3" s="183"/>
    </row>
    <row r="4" s="178" customFormat="1" ht="24.9" customHeight="1" spans="1:14">
      <c r="A4" s="184" t="s">
        <v>8</v>
      </c>
      <c r="B4" s="184"/>
      <c r="C4" s="185" t="s">
        <v>53</v>
      </c>
      <c r="D4" s="185" t="s">
        <v>152</v>
      </c>
      <c r="E4" s="185" t="s">
        <v>55</v>
      </c>
      <c r="F4" s="185" t="s">
        <v>56</v>
      </c>
      <c r="G4" s="184" t="s">
        <v>57</v>
      </c>
      <c r="H4" s="184" t="s">
        <v>58</v>
      </c>
      <c r="I4" s="185" t="s">
        <v>59</v>
      </c>
    </row>
    <row r="5" s="178" customFormat="1" ht="24.9" customHeight="1" spans="1:14">
      <c r="A5" s="186" t="s">
        <v>153</v>
      </c>
      <c r="B5" s="187" t="s">
        <v>12</v>
      </c>
      <c r="C5" s="188" t="s">
        <v>154</v>
      </c>
      <c r="D5" s="189" t="s">
        <v>155</v>
      </c>
      <c r="E5" s="189"/>
      <c r="F5" s="189"/>
      <c r="G5" s="189"/>
      <c r="H5" s="189"/>
      <c r="I5" s="189"/>
    </row>
    <row r="6" s="178" customFormat="1" ht="24.9" customHeight="1" spans="1:14">
      <c r="A6" s="190"/>
      <c r="B6" s="187" t="s">
        <v>156</v>
      </c>
      <c r="C6" s="191" t="s">
        <v>104</v>
      </c>
      <c r="D6" s="191" t="s">
        <v>157</v>
      </c>
      <c r="E6" s="191"/>
      <c r="F6" s="191"/>
      <c r="G6" s="191"/>
      <c r="H6" s="191"/>
      <c r="I6" s="191"/>
    </row>
    <row r="7" s="178" customFormat="1" ht="24.9" customHeight="1" spans="1:14">
      <c r="A7" s="190"/>
      <c r="B7" s="187" t="s">
        <v>158</v>
      </c>
      <c r="C7" s="192"/>
      <c r="D7" s="192"/>
      <c r="E7" s="192"/>
      <c r="F7" s="192"/>
      <c r="G7" s="192"/>
      <c r="H7" s="192"/>
      <c r="I7" s="192"/>
    </row>
    <row r="8" s="178" customFormat="1" ht="24.9" customHeight="1" spans="1:14">
      <c r="A8" s="190"/>
      <c r="B8" s="187" t="s">
        <v>159</v>
      </c>
      <c r="C8" s="191"/>
      <c r="D8" s="191"/>
      <c r="E8" s="191"/>
      <c r="F8" s="191"/>
      <c r="G8" s="191"/>
      <c r="H8" s="191"/>
      <c r="I8" s="191"/>
    </row>
    <row r="9" s="178" customFormat="1" ht="24.9" customHeight="1" spans="1:14">
      <c r="A9" s="193"/>
      <c r="B9" s="187" t="s">
        <v>160</v>
      </c>
      <c r="C9" s="194"/>
      <c r="D9" s="194"/>
      <c r="E9" s="194"/>
      <c r="F9" s="194"/>
      <c r="G9" s="194"/>
      <c r="H9" s="194"/>
      <c r="I9" s="194"/>
    </row>
    <row r="10" s="178" customFormat="1" ht="24.9" customHeight="1" spans="1:14">
      <c r="A10" s="186" t="s">
        <v>161</v>
      </c>
      <c r="B10" s="187" t="s">
        <v>12</v>
      </c>
      <c r="C10" s="188"/>
      <c r="D10" s="188" t="s">
        <v>162</v>
      </c>
      <c r="E10" s="188"/>
      <c r="F10" s="188"/>
      <c r="G10" s="188"/>
      <c r="H10" s="188"/>
      <c r="I10" s="188"/>
    </row>
    <row r="11" s="178" customFormat="1" ht="24.9" customHeight="1" spans="1:14">
      <c r="A11" s="190"/>
      <c r="B11" s="187" t="s">
        <v>156</v>
      </c>
      <c r="C11" s="191"/>
      <c r="D11" s="191"/>
      <c r="E11" s="191"/>
      <c r="F11" s="191"/>
      <c r="G11" s="191"/>
      <c r="H11" s="191"/>
      <c r="I11" s="191"/>
    </row>
    <row r="12" s="178" customFormat="1" ht="24.9" customHeight="1" spans="1:14">
      <c r="A12" s="190"/>
      <c r="B12" s="187" t="s">
        <v>158</v>
      </c>
      <c r="C12" s="192"/>
      <c r="D12" s="192"/>
      <c r="E12" s="192"/>
      <c r="F12" s="192"/>
      <c r="G12" s="192"/>
      <c r="H12" s="192"/>
      <c r="I12" s="192"/>
    </row>
    <row r="13" s="178" customFormat="1" ht="24.9" customHeight="1" spans="1:14">
      <c r="A13" s="190"/>
      <c r="B13" s="187" t="s">
        <v>159</v>
      </c>
      <c r="C13" s="191"/>
      <c r="D13" s="191"/>
      <c r="E13" s="191"/>
      <c r="F13" s="191"/>
      <c r="G13" s="191"/>
      <c r="H13" s="191"/>
      <c r="I13" s="191"/>
    </row>
    <row r="14" s="178" customFormat="1" ht="24.9" customHeight="1" spans="1:14">
      <c r="A14" s="193"/>
      <c r="B14" s="187" t="s">
        <v>160</v>
      </c>
      <c r="C14" s="194"/>
      <c r="D14" s="194"/>
      <c r="E14" s="194"/>
      <c r="F14" s="194"/>
      <c r="G14" s="194"/>
      <c r="H14" s="194"/>
      <c r="I14" s="194"/>
    </row>
    <row r="15" s="178" customFormat="1" ht="24.9" customHeight="1" spans="1:14">
      <c r="A15" s="195" t="s">
        <v>163</v>
      </c>
      <c r="B15" s="187" t="s">
        <v>12</v>
      </c>
      <c r="C15" s="188" t="s">
        <v>164</v>
      </c>
      <c r="D15" s="188"/>
      <c r="E15" s="188"/>
      <c r="F15" s="188"/>
      <c r="G15" s="188"/>
      <c r="H15" s="188"/>
      <c r="I15" s="188"/>
    </row>
    <row r="16" s="178" customFormat="1" ht="24.9" customHeight="1" spans="1:14">
      <c r="A16" s="195"/>
      <c r="B16" s="187" t="s">
        <v>156</v>
      </c>
      <c r="C16" s="188" t="s">
        <v>164</v>
      </c>
      <c r="D16" s="191"/>
      <c r="E16" s="191"/>
      <c r="F16" s="191"/>
      <c r="G16" s="191"/>
      <c r="H16" s="191"/>
      <c r="I16" s="191"/>
    </row>
    <row r="17" s="178" customFormat="1" ht="24.9" customHeight="1" spans="1:9">
      <c r="A17" s="195"/>
      <c r="B17" s="187" t="s">
        <v>158</v>
      </c>
      <c r="C17" s="192"/>
      <c r="D17" s="192"/>
      <c r="E17" s="192"/>
      <c r="F17" s="192"/>
      <c r="G17" s="192"/>
      <c r="H17" s="192"/>
      <c r="I17" s="192"/>
    </row>
    <row r="18" s="178" customFormat="1" ht="24.9" customHeight="1" spans="1:9">
      <c r="A18" s="195"/>
      <c r="B18" s="187" t="s">
        <v>159</v>
      </c>
      <c r="C18" s="191" t="s">
        <v>165</v>
      </c>
      <c r="D18" s="191"/>
      <c r="E18" s="191"/>
      <c r="F18" s="191"/>
      <c r="G18" s="191"/>
      <c r="H18" s="191"/>
      <c r="I18" s="191"/>
    </row>
    <row r="19" s="178" customFormat="1" ht="24.9" customHeight="1" spans="1:9">
      <c r="A19" s="195"/>
      <c r="B19" s="187" t="s">
        <v>160</v>
      </c>
      <c r="C19" s="194"/>
      <c r="D19" s="194"/>
      <c r="E19" s="194"/>
      <c r="F19" s="194"/>
      <c r="G19" s="194"/>
      <c r="H19" s="194"/>
      <c r="I19" s="194"/>
    </row>
    <row r="20" s="178" customFormat="1" ht="24.9" customHeight="1" spans="1:9">
      <c r="A20" s="196" t="s">
        <v>166</v>
      </c>
      <c r="B20" s="196"/>
      <c r="C20" s="197"/>
      <c r="D20" s="197"/>
      <c r="E20" s="198" t="s">
        <v>167</v>
      </c>
      <c r="F20" s="198"/>
      <c r="G20" s="199"/>
      <c r="H20" s="198" t="s">
        <v>168</v>
      </c>
      <c r="I20" s="198"/>
    </row>
  </sheetData>
  <mergeCells count="10">
    <mergeCell ref="A1:I1"/>
    <mergeCell ref="A2:I2"/>
    <mergeCell ref="B3:D3"/>
    <mergeCell ref="E3:I3"/>
    <mergeCell ref="A4:B4"/>
    <mergeCell ref="E20:F20"/>
    <mergeCell ref="H20:I20"/>
    <mergeCell ref="A5:A9"/>
    <mergeCell ref="A10:A14"/>
    <mergeCell ref="A15:A1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H22" sqref="H22"/>
    </sheetView>
  </sheetViews>
  <sheetFormatPr defaultColWidth="9.81818181818182" defaultRowHeight="15"/>
  <cols>
    <col min="1" max="1" width="17.0181818181818" style="158" customWidth="1"/>
    <col min="2" max="2" width="11.5636363636364" style="158" customWidth="1"/>
    <col min="3" max="3" width="13.7454545454545" style="158" customWidth="1"/>
    <col min="4" max="4" width="20.1818181818182" style="158" customWidth="1"/>
    <col min="5" max="9" width="13.7454545454545" style="158" customWidth="1"/>
    <col min="10" max="16384" width="9.81818181818182" style="158"/>
  </cols>
  <sheetData>
    <row r="1" s="158" customFormat="1" ht="32.1" customHeight="1" spans="1:14">
      <c r="A1" s="160" t="s">
        <v>169</v>
      </c>
      <c r="B1" s="160"/>
      <c r="C1" s="160"/>
      <c r="D1" s="160"/>
      <c r="E1" s="160"/>
      <c r="F1" s="160"/>
      <c r="G1" s="160"/>
      <c r="H1" s="160"/>
      <c r="I1" s="160"/>
      <c r="N1" s="161" t="str">
        <f>HYPERLINK("#目录!A1","点击返回")</f>
        <v>点击返回</v>
      </c>
    </row>
    <row r="2" s="158" customFormat="1" ht="27.9" customHeight="1" spans="1:14">
      <c r="A2" s="162" t="s">
        <v>170</v>
      </c>
      <c r="B2" s="162"/>
      <c r="C2" s="162"/>
      <c r="D2" s="162"/>
      <c r="E2" s="162"/>
      <c r="F2" s="162"/>
      <c r="G2" s="162"/>
      <c r="H2" s="162"/>
      <c r="I2" s="162"/>
    </row>
    <row r="3" s="158" customFormat="1" ht="27.9" customHeight="1" spans="1:14">
      <c r="A3" s="163" t="s">
        <v>100</v>
      </c>
      <c r="B3" s="163"/>
      <c r="C3" s="163"/>
      <c r="D3" s="163"/>
      <c r="E3" s="163"/>
      <c r="F3" s="163"/>
      <c r="G3" s="163"/>
      <c r="H3" s="163"/>
      <c r="I3" s="163"/>
    </row>
    <row r="4" s="158" customFormat="1" ht="27.9" customHeight="1" spans="1:14">
      <c r="A4" s="164" t="s">
        <v>171</v>
      </c>
      <c r="B4" s="164" t="s">
        <v>172</v>
      </c>
      <c r="C4" s="164" t="s">
        <v>53</v>
      </c>
      <c r="D4" s="164" t="s">
        <v>54</v>
      </c>
      <c r="E4" s="164" t="s">
        <v>55</v>
      </c>
      <c r="F4" s="164" t="s">
        <v>56</v>
      </c>
      <c r="G4" s="164" t="s">
        <v>57</v>
      </c>
      <c r="H4" s="164" t="s">
        <v>58</v>
      </c>
      <c r="I4" s="164" t="s">
        <v>59</v>
      </c>
    </row>
    <row r="5" s="158" customFormat="1" ht="27.9" customHeight="1" spans="1:14">
      <c r="A5" s="165" t="s">
        <v>173</v>
      </c>
      <c r="B5" s="165" t="s">
        <v>174</v>
      </c>
      <c r="C5" s="166" t="s">
        <v>104</v>
      </c>
      <c r="D5" s="166"/>
      <c r="E5" s="167"/>
      <c r="F5" s="167">
        <v>1</v>
      </c>
      <c r="G5" s="166"/>
      <c r="H5" s="166"/>
      <c r="I5" s="166"/>
    </row>
    <row r="6" s="158" customFormat="1" ht="27.9" customHeight="1" spans="1:14">
      <c r="A6" s="165" t="s">
        <v>175</v>
      </c>
      <c r="B6" s="165" t="s">
        <v>174</v>
      </c>
      <c r="C6" s="166"/>
      <c r="D6" s="166" t="s">
        <v>176</v>
      </c>
      <c r="E6" s="166"/>
      <c r="F6" s="166">
        <v>2</v>
      </c>
      <c r="G6" s="166"/>
      <c r="H6" s="166"/>
      <c r="I6" s="166"/>
    </row>
    <row r="7" s="158" customFormat="1" ht="27.9" customHeight="1" spans="1:14">
      <c r="A7" s="165" t="s">
        <v>177</v>
      </c>
      <c r="B7" s="165" t="s">
        <v>174</v>
      </c>
      <c r="C7" s="166"/>
      <c r="D7" s="168" t="s">
        <v>178</v>
      </c>
      <c r="E7" s="166"/>
      <c r="F7" s="166">
        <v>3</v>
      </c>
      <c r="G7" s="166"/>
      <c r="H7" s="166"/>
      <c r="I7" s="166"/>
    </row>
    <row r="8" s="158" customFormat="1" ht="27.9" customHeight="1" spans="1:14">
      <c r="A8" s="165" t="s">
        <v>179</v>
      </c>
      <c r="B8" s="165" t="s">
        <v>180</v>
      </c>
      <c r="C8" s="169"/>
      <c r="D8" s="170" t="s">
        <v>181</v>
      </c>
      <c r="E8" s="169"/>
      <c r="F8" s="169"/>
      <c r="G8" s="169"/>
      <c r="H8" s="169"/>
      <c r="I8" s="169"/>
    </row>
    <row r="9" s="158" customFormat="1" ht="61" customHeight="1" spans="1:14">
      <c r="A9" s="165" t="s">
        <v>182</v>
      </c>
      <c r="B9" s="165" t="s">
        <v>174</v>
      </c>
      <c r="C9" s="166"/>
      <c r="D9" s="171" t="s">
        <v>183</v>
      </c>
      <c r="E9" s="166"/>
      <c r="F9" s="166">
        <v>5</v>
      </c>
      <c r="G9" s="166"/>
      <c r="H9" s="166"/>
      <c r="I9" s="166"/>
    </row>
    <row r="10" s="158" customFormat="1" ht="31" customHeight="1" spans="1:14">
      <c r="A10" s="165" t="s">
        <v>184</v>
      </c>
      <c r="B10" s="165" t="s">
        <v>180</v>
      </c>
      <c r="C10" s="172"/>
      <c r="D10" s="173" t="s">
        <v>185</v>
      </c>
      <c r="E10" s="172"/>
      <c r="F10" s="172"/>
      <c r="G10" s="172"/>
      <c r="H10" s="172"/>
      <c r="I10" s="172"/>
    </row>
    <row r="11" s="159" customFormat="1" ht="27.9" customHeight="1" spans="1:14">
      <c r="A11" s="174" t="s">
        <v>186</v>
      </c>
      <c r="B11" s="174"/>
      <c r="C11" s="174"/>
      <c r="D11" s="175" t="s">
        <v>167</v>
      </c>
      <c r="E11" s="175"/>
      <c r="F11" s="174" t="s">
        <v>187</v>
      </c>
      <c r="G11" s="174"/>
      <c r="H11" s="176" t="s">
        <v>188</v>
      </c>
      <c r="I11" s="176"/>
    </row>
    <row r="13" ht="37" customHeight="1" spans="1:14">
      <c r="A13" s="177" t="s">
        <v>189</v>
      </c>
      <c r="B13" s="177"/>
      <c r="C13" s="177"/>
      <c r="D13" s="177"/>
      <c r="E13" s="177"/>
      <c r="F13" s="177"/>
      <c r="G13" s="177"/>
      <c r="H13" s="177"/>
      <c r="I13" s="177"/>
    </row>
  </sheetData>
  <mergeCells count="8">
    <mergeCell ref="A1:I1"/>
    <mergeCell ref="A2:I2"/>
    <mergeCell ref="A3:I3"/>
    <mergeCell ref="A11:C11"/>
    <mergeCell ref="D11:E11"/>
    <mergeCell ref="F11:G11"/>
    <mergeCell ref="H11:I11"/>
    <mergeCell ref="A13:I1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I6" sqref="I6"/>
    </sheetView>
  </sheetViews>
  <sheetFormatPr defaultColWidth="8.72727272727273" defaultRowHeight="14"/>
  <cols>
    <col min="1" max="1" width="8.72727272727273" style="1"/>
    <col min="2" max="2" width="9.36363636363636" style="1" customWidth="1"/>
    <col min="3" max="3" width="29.9090909090909" style="1" customWidth="1"/>
    <col min="4" max="4" width="7.18181818181818" style="1" customWidth="1"/>
    <col min="5" max="5" width="4.18181818181818" style="1" customWidth="1"/>
    <col min="6" max="6" width="8.72727272727273" style="1"/>
    <col min="7" max="7" width="19.1818181818182" style="1" customWidth="1"/>
    <col min="8" max="9" width="28.7272727272727" style="1" customWidth="1"/>
    <col min="10" max="10" width="15.9090909090909" style="1" customWidth="1"/>
    <col min="11" max="11" width="18.9090909090909" style="1" customWidth="1"/>
    <col min="12" max="16384" width="8.72727272727273" style="1"/>
  </cols>
  <sheetData>
    <row r="1" s="1" customFormat="1" spans="2:11">
      <c r="K1" s="2" t="str">
        <f>HYPERLINK("#目录!A1","点击返回")</f>
        <v>点击返回</v>
      </c>
    </row>
    <row r="2" s="1" customFormat="1" ht="27.5" spans="2:11">
      <c r="B2" s="48" t="s">
        <v>190</v>
      </c>
      <c r="C2" s="49"/>
      <c r="D2" s="49"/>
      <c r="E2" s="49"/>
      <c r="F2" s="49"/>
      <c r="G2" s="49"/>
      <c r="H2" s="49"/>
      <c r="I2" s="49"/>
      <c r="J2" s="49"/>
      <c r="K2" s="49"/>
    </row>
    <row r="3" s="1" customFormat="1" ht="24" customHeight="1" spans="2:11">
      <c r="B3" s="75" t="s">
        <v>191</v>
      </c>
      <c r="C3" s="75"/>
      <c r="D3" s="75"/>
      <c r="E3" s="75"/>
      <c r="F3" s="75"/>
      <c r="G3" s="75"/>
      <c r="H3" s="75"/>
      <c r="I3" s="52" t="s">
        <v>151</v>
      </c>
      <c r="J3" s="52"/>
      <c r="K3" s="52"/>
    </row>
    <row r="4" s="1" customFormat="1" ht="21" customHeight="1" spans="2:11">
      <c r="B4" s="76" t="s">
        <v>8</v>
      </c>
      <c r="C4" s="77"/>
      <c r="D4" s="77"/>
      <c r="E4" s="77"/>
      <c r="F4" s="78" t="s">
        <v>9</v>
      </c>
      <c r="G4" s="122" t="s">
        <v>159</v>
      </c>
      <c r="H4" s="80" t="s">
        <v>12</v>
      </c>
      <c r="I4" s="81" t="s">
        <v>156</v>
      </c>
      <c r="J4" s="123" t="s">
        <v>192</v>
      </c>
      <c r="K4" s="124" t="s">
        <v>193</v>
      </c>
    </row>
    <row r="5" s="1" customFormat="1" ht="21" customHeight="1" spans="2:11">
      <c r="B5" s="125" t="s">
        <v>14</v>
      </c>
      <c r="C5" s="126" t="s">
        <v>15</v>
      </c>
      <c r="D5" s="126"/>
      <c r="E5" s="126"/>
      <c r="F5" s="85">
        <v>1</v>
      </c>
      <c r="G5" s="127" t="s">
        <v>194</v>
      </c>
      <c r="H5" s="128" t="s">
        <v>195</v>
      </c>
      <c r="I5" s="128" t="s">
        <v>196</v>
      </c>
      <c r="J5" s="129" t="s">
        <v>111</v>
      </c>
      <c r="K5" s="130" t="s">
        <v>98</v>
      </c>
    </row>
    <row r="6" s="1" customFormat="1" ht="21" customHeight="1" spans="2:11">
      <c r="B6" s="125"/>
      <c r="C6" s="126" t="s">
        <v>20</v>
      </c>
      <c r="D6" s="126"/>
      <c r="E6" s="126"/>
      <c r="F6" s="85">
        <v>2</v>
      </c>
      <c r="G6" s="127" t="s">
        <v>194</v>
      </c>
      <c r="H6" s="131"/>
      <c r="I6" s="132" t="s">
        <v>197</v>
      </c>
      <c r="J6" s="133" t="s">
        <v>122</v>
      </c>
      <c r="K6" s="134" t="s">
        <v>198</v>
      </c>
    </row>
    <row r="7" s="1" customFormat="1" ht="21" customHeight="1" spans="2:11">
      <c r="B7" s="125"/>
      <c r="C7" s="126" t="s">
        <v>25</v>
      </c>
      <c r="D7" s="126"/>
      <c r="E7" s="126"/>
      <c r="F7" s="85">
        <v>3</v>
      </c>
      <c r="G7" s="127" t="s">
        <v>194</v>
      </c>
      <c r="H7" s="131"/>
      <c r="I7" s="132"/>
      <c r="J7" s="133" t="s">
        <v>122</v>
      </c>
      <c r="K7" s="134" t="s">
        <v>198</v>
      </c>
    </row>
    <row r="8" s="1" customFormat="1" ht="21" customHeight="1" spans="2:11">
      <c r="B8" s="125"/>
      <c r="C8" s="126" t="s">
        <v>28</v>
      </c>
      <c r="D8" s="126"/>
      <c r="E8" s="126"/>
      <c r="F8" s="85">
        <v>4</v>
      </c>
      <c r="G8" s="127" t="s">
        <v>194</v>
      </c>
      <c r="H8" s="135"/>
      <c r="I8" s="136" t="s">
        <v>199</v>
      </c>
      <c r="J8" s="137" t="s">
        <v>98</v>
      </c>
      <c r="K8" s="130" t="s">
        <v>98</v>
      </c>
    </row>
    <row r="9" s="1" customFormat="1" ht="21" customHeight="1" spans="2:11">
      <c r="B9" s="125" t="s">
        <v>30</v>
      </c>
      <c r="C9" s="126" t="s">
        <v>15</v>
      </c>
      <c r="D9" s="126"/>
      <c r="E9" s="126"/>
      <c r="F9" s="85">
        <v>5</v>
      </c>
      <c r="G9" s="127" t="s">
        <v>194</v>
      </c>
      <c r="H9" s="131" t="s">
        <v>200</v>
      </c>
      <c r="I9" s="131" t="s">
        <v>200</v>
      </c>
      <c r="J9" s="137" t="s">
        <v>98</v>
      </c>
      <c r="K9" s="130" t="s">
        <v>98</v>
      </c>
    </row>
    <row r="10" s="1" customFormat="1" ht="21" customHeight="1" spans="2:11">
      <c r="B10" s="125"/>
      <c r="C10" s="126" t="s">
        <v>34</v>
      </c>
      <c r="D10" s="126"/>
      <c r="E10" s="126"/>
      <c r="F10" s="85">
        <v>6</v>
      </c>
      <c r="G10" s="127" t="s">
        <v>194</v>
      </c>
      <c r="H10" s="131"/>
      <c r="I10" s="132" t="s">
        <v>201</v>
      </c>
      <c r="J10" s="133" t="s">
        <v>122</v>
      </c>
      <c r="K10" s="134" t="s">
        <v>198</v>
      </c>
    </row>
    <row r="11" s="1" customFormat="1" ht="21" customHeight="1" spans="2:11">
      <c r="B11" s="125"/>
      <c r="C11" s="138" t="s">
        <v>37</v>
      </c>
      <c r="D11" s="138"/>
      <c r="E11" s="138"/>
      <c r="F11" s="85">
        <v>7</v>
      </c>
      <c r="G11" s="127" t="s">
        <v>194</v>
      </c>
      <c r="H11" s="139"/>
      <c r="I11" s="140" t="s">
        <v>202</v>
      </c>
      <c r="J11" s="133" t="s">
        <v>122</v>
      </c>
      <c r="K11" s="134" t="s">
        <v>198</v>
      </c>
    </row>
    <row r="12" s="1" customFormat="1" ht="21" customHeight="1" spans="2:11">
      <c r="B12" s="141"/>
      <c r="C12" s="118" t="s">
        <v>40</v>
      </c>
      <c r="D12" s="119"/>
      <c r="E12" s="142"/>
      <c r="F12" s="85">
        <v>8</v>
      </c>
      <c r="G12" s="127" t="s">
        <v>194</v>
      </c>
      <c r="H12" s="143"/>
      <c r="I12" s="143" t="s">
        <v>202</v>
      </c>
      <c r="J12" s="133" t="s">
        <v>122</v>
      </c>
      <c r="K12" s="134" t="s">
        <v>198</v>
      </c>
    </row>
    <row r="13" s="1" customFormat="1" ht="21" customHeight="1" spans="2:11">
      <c r="B13" s="125"/>
      <c r="C13" s="144" t="s">
        <v>28</v>
      </c>
      <c r="D13" s="144"/>
      <c r="E13" s="144"/>
      <c r="F13" s="85">
        <v>9</v>
      </c>
      <c r="G13" s="127" t="s">
        <v>194</v>
      </c>
      <c r="H13" s="145"/>
      <c r="I13" s="145" t="s">
        <v>203</v>
      </c>
      <c r="J13" s="130" t="s">
        <v>98</v>
      </c>
      <c r="K13" s="130" t="s">
        <v>98</v>
      </c>
    </row>
    <row r="14" s="1" customFormat="1" ht="21" customHeight="1" spans="2:11">
      <c r="B14" s="125"/>
      <c r="C14" s="146" t="s">
        <v>44</v>
      </c>
      <c r="D14" s="146"/>
      <c r="E14" s="146"/>
      <c r="F14" s="85">
        <v>10</v>
      </c>
      <c r="G14" s="127" t="s">
        <v>194</v>
      </c>
      <c r="H14" s="93"/>
      <c r="I14" s="93" t="s">
        <v>204</v>
      </c>
      <c r="J14" s="130" t="s">
        <v>98</v>
      </c>
      <c r="K14" s="130" t="s">
        <v>98</v>
      </c>
    </row>
    <row r="15" s="1" customFormat="1" ht="21" customHeight="1" spans="2:11">
      <c r="B15" s="125" t="s">
        <v>46</v>
      </c>
      <c r="C15" s="126" t="s">
        <v>15</v>
      </c>
      <c r="D15" s="126"/>
      <c r="E15" s="126"/>
      <c r="F15" s="85">
        <v>11</v>
      </c>
      <c r="G15" s="147" t="s">
        <v>19</v>
      </c>
      <c r="H15" s="148" t="s">
        <v>19</v>
      </c>
      <c r="I15" s="129" t="s">
        <v>19</v>
      </c>
      <c r="J15" s="129" t="s">
        <v>19</v>
      </c>
      <c r="K15" s="130" t="s">
        <v>19</v>
      </c>
    </row>
    <row r="16" s="1" customFormat="1" ht="21" customHeight="1" spans="2:11">
      <c r="B16" s="125"/>
      <c r="C16" s="126" t="s">
        <v>47</v>
      </c>
      <c r="D16" s="126"/>
      <c r="E16" s="126"/>
      <c r="F16" s="85">
        <v>12</v>
      </c>
      <c r="G16" s="147" t="s">
        <v>19</v>
      </c>
      <c r="H16" s="148" t="s">
        <v>19</v>
      </c>
      <c r="I16" s="129" t="s">
        <v>19</v>
      </c>
      <c r="J16" s="129" t="s">
        <v>19</v>
      </c>
      <c r="K16" s="130" t="s">
        <v>19</v>
      </c>
    </row>
    <row r="17" s="1" customFormat="1" ht="21" customHeight="1" spans="1:11">
      <c r="B17" s="125"/>
      <c r="C17" s="126" t="s">
        <v>48</v>
      </c>
      <c r="D17" s="126"/>
      <c r="E17" s="126"/>
      <c r="F17" s="85">
        <v>13</v>
      </c>
      <c r="G17" s="147" t="s">
        <v>19</v>
      </c>
      <c r="H17" s="148" t="s">
        <v>19</v>
      </c>
      <c r="I17" s="129" t="s">
        <v>19</v>
      </c>
      <c r="J17" s="129" t="s">
        <v>19</v>
      </c>
      <c r="K17" s="130" t="s">
        <v>19</v>
      </c>
    </row>
    <row r="18" s="1" customFormat="1" ht="21" customHeight="1" spans="1:11">
      <c r="B18" s="125"/>
      <c r="C18" s="126" t="s">
        <v>28</v>
      </c>
      <c r="D18" s="126"/>
      <c r="E18" s="126"/>
      <c r="F18" s="85">
        <v>14</v>
      </c>
      <c r="G18" s="149" t="s">
        <v>19</v>
      </c>
      <c r="H18" s="129" t="s">
        <v>19</v>
      </c>
      <c r="I18" s="129" t="s">
        <v>19</v>
      </c>
      <c r="J18" s="129" t="s">
        <v>19</v>
      </c>
      <c r="K18" s="130" t="s">
        <v>19</v>
      </c>
    </row>
    <row r="19" s="1" customFormat="1" ht="21" customHeight="1" spans="1:11">
      <c r="B19" s="150"/>
      <c r="C19" s="151" t="s">
        <v>49</v>
      </c>
      <c r="D19" s="151"/>
      <c r="E19" s="151"/>
      <c r="F19" s="152">
        <v>15</v>
      </c>
      <c r="G19" s="153" t="s">
        <v>19</v>
      </c>
      <c r="H19" s="154" t="s">
        <v>19</v>
      </c>
      <c r="I19" s="154" t="s">
        <v>19</v>
      </c>
      <c r="J19" s="154" t="s">
        <v>19</v>
      </c>
      <c r="K19" s="155" t="s">
        <v>19</v>
      </c>
    </row>
    <row r="22" s="1" customFormat="1" ht="68" customHeight="1" spans="1:11">
      <c r="A22" s="156" t="s">
        <v>205</v>
      </c>
      <c r="B22" s="157"/>
      <c r="C22" s="157"/>
      <c r="D22" s="157"/>
      <c r="E22" s="157"/>
      <c r="F22" s="157"/>
      <c r="G22" s="157"/>
      <c r="H22" s="157"/>
      <c r="I22" s="157"/>
      <c r="J22" s="157"/>
      <c r="K22" s="157"/>
    </row>
  </sheetData>
  <mergeCells count="23">
    <mergeCell ref="B2:K2"/>
    <mergeCell ref="B3:H3"/>
    <mergeCell ref="I3:K3"/>
    <mergeCell ref="B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A22:K22"/>
    <mergeCell ref="B5:B8"/>
    <mergeCell ref="B9:B14"/>
    <mergeCell ref="B15:B1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21"/>
  <sheetViews>
    <sheetView workbookViewId="0">
      <selection activeCell="C11" sqref="C11:E11"/>
    </sheetView>
  </sheetViews>
  <sheetFormatPr defaultColWidth="8.72727272727273" defaultRowHeight="14"/>
  <cols>
    <col min="1" max="1" width="8.72727272727273" style="1"/>
    <col min="2" max="2" width="11.0909090909091" style="1" customWidth="1"/>
    <col min="3" max="4" width="8.72727272727273" style="1"/>
    <col min="5" max="5" width="17.0909090909091" style="1" customWidth="1"/>
    <col min="6" max="6" width="8.72727272727273" style="1"/>
    <col min="7" max="7" width="13.0909090909091" style="1" customWidth="1"/>
    <col min="8" max="8" width="15.2727272727273" style="1" customWidth="1"/>
    <col min="9" max="13" width="13.0909090909091" style="1" customWidth="1"/>
    <col min="14" max="16384" width="8.72727272727273" style="1"/>
  </cols>
  <sheetData>
    <row r="1" s="1" customFormat="1" spans="2:13">
      <c r="K1" s="113" t="str">
        <f>HYPERLINK("#目录!A1","点击返回")</f>
        <v>点击返回</v>
      </c>
    </row>
    <row r="2" s="1" customFormat="1" ht="27.5" spans="2:13">
      <c r="B2" s="114" t="s">
        <v>206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="1" customFormat="1" ht="28" customHeight="1" spans="2:13">
      <c r="B3" s="115" t="s">
        <v>207</v>
      </c>
      <c r="C3" s="115"/>
      <c r="D3" s="115"/>
      <c r="E3" s="115"/>
      <c r="F3" s="115"/>
      <c r="G3" s="115"/>
      <c r="H3" s="51"/>
      <c r="I3" s="116" t="s">
        <v>151</v>
      </c>
      <c r="J3" s="116"/>
      <c r="K3" s="116"/>
      <c r="L3" s="116"/>
      <c r="M3" s="116"/>
    </row>
    <row r="4" s="1" customFormat="1" ht="28" customHeight="1" spans="2:13">
      <c r="B4" s="58" t="s">
        <v>8</v>
      </c>
      <c r="C4" s="58"/>
      <c r="D4" s="58"/>
      <c r="E4" s="58"/>
      <c r="F4" s="59" t="s">
        <v>9</v>
      </c>
      <c r="G4" s="117" t="s">
        <v>156</v>
      </c>
      <c r="H4" s="117"/>
      <c r="I4" s="117"/>
      <c r="J4" s="117"/>
      <c r="K4" s="117"/>
      <c r="L4" s="117"/>
      <c r="M4" s="117"/>
    </row>
    <row r="5" s="1" customFormat="1" ht="28" customHeight="1" spans="2:13">
      <c r="B5" s="58"/>
      <c r="C5" s="58"/>
      <c r="D5" s="58"/>
      <c r="E5" s="58"/>
      <c r="F5" s="59"/>
      <c r="G5" s="58" t="s">
        <v>53</v>
      </c>
      <c r="H5" s="59" t="s">
        <v>54</v>
      </c>
      <c r="I5" s="59" t="s">
        <v>55</v>
      </c>
      <c r="J5" s="59" t="s">
        <v>56</v>
      </c>
      <c r="K5" s="60" t="s">
        <v>57</v>
      </c>
      <c r="L5" s="60" t="s">
        <v>58</v>
      </c>
      <c r="M5" s="60" t="s">
        <v>59</v>
      </c>
    </row>
    <row r="6" s="1" customFormat="1" ht="28" customHeight="1" spans="2:13">
      <c r="B6" s="59" t="s">
        <v>14</v>
      </c>
      <c r="C6" s="67" t="s">
        <v>15</v>
      </c>
      <c r="D6" s="67"/>
      <c r="E6" s="67"/>
      <c r="F6" s="58">
        <v>1</v>
      </c>
      <c r="G6" s="64" t="s">
        <v>104</v>
      </c>
      <c r="H6" s="64" t="s">
        <v>208</v>
      </c>
      <c r="I6" s="64"/>
      <c r="J6" s="64"/>
      <c r="K6" s="64"/>
      <c r="L6" s="64"/>
      <c r="M6" s="64"/>
    </row>
    <row r="7" s="1" customFormat="1" ht="28" customHeight="1" spans="2:13">
      <c r="B7" s="59"/>
      <c r="C7" s="67" t="s">
        <v>20</v>
      </c>
      <c r="D7" s="67"/>
      <c r="E7" s="67"/>
      <c r="F7" s="58">
        <v>2</v>
      </c>
      <c r="G7" s="64"/>
      <c r="H7" s="64" t="s">
        <v>209</v>
      </c>
      <c r="I7" s="64"/>
      <c r="J7" s="64"/>
      <c r="K7" s="68"/>
      <c r="L7" s="68"/>
      <c r="M7" s="68"/>
    </row>
    <row r="8" s="1" customFormat="1" ht="28" customHeight="1" spans="2:13">
      <c r="B8" s="59"/>
      <c r="C8" s="67" t="s">
        <v>25</v>
      </c>
      <c r="D8" s="67"/>
      <c r="E8" s="67"/>
      <c r="F8" s="58">
        <v>3</v>
      </c>
      <c r="G8" s="64"/>
      <c r="H8" s="64" t="s">
        <v>209</v>
      </c>
      <c r="I8" s="64"/>
      <c r="J8" s="64"/>
      <c r="K8" s="68"/>
      <c r="L8" s="68"/>
      <c r="M8" s="68"/>
    </row>
    <row r="9" s="1" customFormat="1" ht="28" customHeight="1" spans="2:13">
      <c r="B9" s="59"/>
      <c r="C9" s="118" t="s">
        <v>63</v>
      </c>
      <c r="D9" s="119"/>
      <c r="E9" s="120"/>
      <c r="F9" s="58">
        <v>4</v>
      </c>
      <c r="G9" s="64"/>
      <c r="H9" s="64" t="s">
        <v>209</v>
      </c>
      <c r="I9" s="64"/>
      <c r="J9" s="64"/>
      <c r="K9" s="68"/>
      <c r="L9" s="68"/>
      <c r="M9" s="68"/>
    </row>
    <row r="10" s="1" customFormat="1" ht="28" customHeight="1" spans="2:13">
      <c r="B10" s="59"/>
      <c r="C10" s="67" t="s">
        <v>28</v>
      </c>
      <c r="D10" s="67"/>
      <c r="E10" s="67"/>
      <c r="F10" s="58">
        <v>5</v>
      </c>
      <c r="G10" s="64"/>
      <c r="H10" s="64" t="s">
        <v>210</v>
      </c>
      <c r="I10" s="64"/>
      <c r="J10" s="64"/>
      <c r="K10" s="64"/>
      <c r="L10" s="64"/>
      <c r="M10" s="64"/>
    </row>
    <row r="11" s="1" customFormat="1" ht="28" customHeight="1" spans="2:13">
      <c r="B11" s="59" t="s">
        <v>30</v>
      </c>
      <c r="C11" s="67" t="s">
        <v>15</v>
      </c>
      <c r="D11" s="67"/>
      <c r="E11" s="67"/>
      <c r="F11" s="58">
        <v>6</v>
      </c>
      <c r="G11" s="64"/>
      <c r="H11" s="64" t="s">
        <v>211</v>
      </c>
      <c r="I11" s="64"/>
      <c r="J11" s="64"/>
      <c r="K11" s="68"/>
      <c r="L11" s="68"/>
      <c r="M11" s="68"/>
    </row>
    <row r="12" s="1" customFormat="1" ht="28" customHeight="1" spans="2:13">
      <c r="B12" s="59"/>
      <c r="C12" s="67" t="s">
        <v>34</v>
      </c>
      <c r="D12" s="67"/>
      <c r="E12" s="67"/>
      <c r="F12" s="58">
        <v>7</v>
      </c>
      <c r="G12" s="64"/>
      <c r="H12" s="64" t="s">
        <v>209</v>
      </c>
      <c r="I12" s="64"/>
      <c r="J12" s="64"/>
      <c r="K12" s="68"/>
      <c r="L12" s="68"/>
      <c r="M12" s="68"/>
    </row>
    <row r="13" s="1" customFormat="1" ht="28" customHeight="1" spans="2:13">
      <c r="B13" s="59"/>
      <c r="C13" s="67" t="s">
        <v>37</v>
      </c>
      <c r="D13" s="67"/>
      <c r="E13" s="67"/>
      <c r="F13" s="58">
        <v>8</v>
      </c>
      <c r="G13" s="64"/>
      <c r="H13" s="64" t="s">
        <v>209</v>
      </c>
      <c r="I13" s="64"/>
      <c r="J13" s="64"/>
      <c r="K13" s="64"/>
      <c r="L13" s="64"/>
      <c r="M13" s="64"/>
    </row>
    <row r="14" s="1" customFormat="1" ht="28" customHeight="1" spans="2:13">
      <c r="B14" s="59"/>
      <c r="C14" s="118" t="s">
        <v>40</v>
      </c>
      <c r="D14" s="119"/>
      <c r="E14" s="120"/>
      <c r="F14" s="58">
        <v>9</v>
      </c>
      <c r="G14" s="64"/>
      <c r="H14" s="64" t="s">
        <v>209</v>
      </c>
      <c r="I14" s="64"/>
      <c r="J14" s="64"/>
      <c r="K14" s="64"/>
      <c r="L14" s="64"/>
      <c r="M14" s="64"/>
    </row>
    <row r="15" s="1" customFormat="1" ht="28" customHeight="1" spans="2:13">
      <c r="B15" s="59"/>
      <c r="C15" s="67" t="s">
        <v>28</v>
      </c>
      <c r="D15" s="67"/>
      <c r="E15" s="67"/>
      <c r="F15" s="58">
        <v>10</v>
      </c>
      <c r="G15" s="64"/>
      <c r="H15" s="64"/>
      <c r="I15" s="64"/>
      <c r="J15" s="64"/>
      <c r="K15" s="64"/>
      <c r="L15" s="64"/>
      <c r="M15" s="64"/>
    </row>
    <row r="16" s="1" customFormat="1" ht="28" customHeight="1" spans="2:13">
      <c r="B16" s="59"/>
      <c r="C16" s="121" t="s">
        <v>44</v>
      </c>
      <c r="D16" s="121"/>
      <c r="E16" s="121"/>
      <c r="F16" s="58">
        <v>11</v>
      </c>
      <c r="G16" s="98"/>
      <c r="H16" s="98"/>
      <c r="I16" s="98"/>
      <c r="J16" s="98"/>
      <c r="K16" s="98"/>
      <c r="L16" s="98"/>
      <c r="M16" s="98"/>
    </row>
    <row r="17" s="1" customFormat="1" ht="28" customHeight="1" spans="2:13">
      <c r="B17" s="59" t="s">
        <v>46</v>
      </c>
      <c r="C17" s="67" t="s">
        <v>15</v>
      </c>
      <c r="D17" s="67"/>
      <c r="E17" s="67"/>
      <c r="F17" s="58">
        <v>12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100">
        <v>0</v>
      </c>
    </row>
    <row r="18" s="1" customFormat="1" ht="28" customHeight="1" spans="2:13">
      <c r="B18" s="59"/>
      <c r="C18" s="67" t="s">
        <v>47</v>
      </c>
      <c r="D18" s="67"/>
      <c r="E18" s="67"/>
      <c r="F18" s="58">
        <v>13</v>
      </c>
      <c r="G18" s="100">
        <v>0</v>
      </c>
      <c r="H18" s="100">
        <v>0</v>
      </c>
      <c r="I18" s="100">
        <v>0</v>
      </c>
      <c r="J18" s="100">
        <v>0</v>
      </c>
      <c r="K18" s="100">
        <v>0</v>
      </c>
      <c r="L18" s="100">
        <v>0</v>
      </c>
      <c r="M18" s="100">
        <v>0</v>
      </c>
    </row>
    <row r="19" s="1" customFormat="1" ht="28" customHeight="1" spans="2:13">
      <c r="B19" s="59"/>
      <c r="C19" s="67" t="s">
        <v>48</v>
      </c>
      <c r="D19" s="67"/>
      <c r="E19" s="67"/>
      <c r="F19" s="58">
        <v>14</v>
      </c>
      <c r="G19" s="100">
        <v>0</v>
      </c>
      <c r="H19" s="100">
        <v>0</v>
      </c>
      <c r="I19" s="100">
        <v>0</v>
      </c>
      <c r="J19" s="100">
        <v>0</v>
      </c>
      <c r="K19" s="100">
        <v>0</v>
      </c>
      <c r="L19" s="100">
        <v>0</v>
      </c>
      <c r="M19" s="100">
        <v>0</v>
      </c>
    </row>
    <row r="20" s="1" customFormat="1" ht="28" customHeight="1" spans="2:13">
      <c r="B20" s="59"/>
      <c r="C20" s="67" t="s">
        <v>28</v>
      </c>
      <c r="D20" s="67"/>
      <c r="E20" s="67"/>
      <c r="F20" s="58">
        <v>15</v>
      </c>
      <c r="G20" s="100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</row>
    <row r="21" s="1" customFormat="1" ht="28" customHeight="1" spans="2:13">
      <c r="B21" s="59"/>
      <c r="C21" s="121" t="s">
        <v>49</v>
      </c>
      <c r="D21" s="121"/>
      <c r="E21" s="121"/>
      <c r="F21" s="58">
        <v>16</v>
      </c>
      <c r="G21" s="100">
        <v>0</v>
      </c>
      <c r="H21" s="100">
        <v>0</v>
      </c>
      <c r="I21" s="100">
        <v>0</v>
      </c>
      <c r="J21" s="100">
        <v>0</v>
      </c>
      <c r="K21" s="100">
        <v>0</v>
      </c>
      <c r="L21" s="100">
        <v>0</v>
      </c>
      <c r="M21" s="100">
        <v>0</v>
      </c>
    </row>
  </sheetData>
  <mergeCells count="25">
    <mergeCell ref="B2:M2"/>
    <mergeCell ref="B3:G3"/>
    <mergeCell ref="I3:M3"/>
    <mergeCell ref="G4:M4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B6:B10"/>
    <mergeCell ref="B11:B16"/>
    <mergeCell ref="B17:B21"/>
    <mergeCell ref="F4:F5"/>
    <mergeCell ref="B4:E5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6"/>
  <sheetViews>
    <sheetView workbookViewId="0">
      <selection activeCell="K1" sqref="K1"/>
    </sheetView>
  </sheetViews>
  <sheetFormatPr defaultColWidth="8.72727272727273" defaultRowHeight="14"/>
  <cols>
    <col min="1" max="3" width="8.72727272727273" style="1"/>
    <col min="4" max="4" width="13.1818181818182" style="1" customWidth="1"/>
    <col min="5" max="5" width="8.72727272727273" style="1"/>
    <col min="6" max="10" width="18.1818181818182" style="1" customWidth="1"/>
    <col min="11" max="16384" width="8.72727272727273" style="1"/>
  </cols>
  <sheetData>
    <row r="1" s="1" customFormat="1" spans="2:11">
      <c r="K1" s="2" t="str">
        <f>HYPERLINK("#目录!A1","点击返回")</f>
        <v>点击返回</v>
      </c>
    </row>
    <row r="2" s="1" customFormat="1" ht="27.5" spans="2:11">
      <c r="B2" s="48" t="s">
        <v>212</v>
      </c>
      <c r="C2" s="49"/>
      <c r="D2" s="49"/>
      <c r="E2" s="49"/>
      <c r="F2" s="49"/>
      <c r="G2" s="49"/>
      <c r="H2" s="49"/>
      <c r="I2" s="49"/>
      <c r="J2" s="49"/>
    </row>
    <row r="3" s="1" customFormat="1" ht="25" customHeight="1" spans="2:11">
      <c r="B3" s="75" t="s">
        <v>191</v>
      </c>
      <c r="C3" s="75"/>
      <c r="D3" s="75"/>
      <c r="E3" s="75"/>
      <c r="F3" s="75"/>
      <c r="G3" s="75"/>
      <c r="H3" s="52" t="s">
        <v>151</v>
      </c>
      <c r="I3" s="52"/>
      <c r="J3" s="52"/>
    </row>
    <row r="4" s="1" customFormat="1" ht="25" customHeight="1" spans="2:11">
      <c r="B4" s="76" t="s">
        <v>70</v>
      </c>
      <c r="C4" s="77"/>
      <c r="D4" s="77"/>
      <c r="E4" s="78" t="s">
        <v>9</v>
      </c>
      <c r="F4" s="79" t="s">
        <v>159</v>
      </c>
      <c r="G4" s="80" t="s">
        <v>12</v>
      </c>
      <c r="H4" s="80" t="s">
        <v>156</v>
      </c>
      <c r="I4" s="81" t="s">
        <v>192</v>
      </c>
      <c r="J4" s="82" t="s">
        <v>193</v>
      </c>
    </row>
    <row r="5" s="1" customFormat="1" ht="25" customHeight="1" spans="2:11">
      <c r="B5" s="83" t="s">
        <v>71</v>
      </c>
      <c r="C5" s="84"/>
      <c r="D5" s="84"/>
      <c r="E5" s="85">
        <v>1</v>
      </c>
      <c r="F5" s="86" t="s">
        <v>72</v>
      </c>
      <c r="G5" s="86" t="s">
        <v>72</v>
      </c>
      <c r="H5" s="86" t="s">
        <v>72</v>
      </c>
      <c r="I5" s="86" t="s">
        <v>72</v>
      </c>
      <c r="J5" s="87" t="s">
        <v>72</v>
      </c>
    </row>
    <row r="6" s="1" customFormat="1" ht="25" customHeight="1" spans="2:11">
      <c r="B6" s="88" t="s">
        <v>73</v>
      </c>
      <c r="C6" s="89"/>
      <c r="D6" s="89"/>
      <c r="E6" s="85">
        <v>2</v>
      </c>
      <c r="F6" s="90"/>
      <c r="G6" s="91"/>
      <c r="H6" s="92"/>
      <c r="I6" s="93"/>
      <c r="J6" s="87"/>
    </row>
    <row r="7" s="1" customFormat="1" ht="25" customHeight="1" spans="2:11">
      <c r="B7" s="88" t="s">
        <v>74</v>
      </c>
      <c r="C7" s="89"/>
      <c r="D7" s="89"/>
      <c r="E7" s="85">
        <v>3</v>
      </c>
      <c r="F7" s="94"/>
      <c r="G7" s="95"/>
      <c r="H7" s="96"/>
      <c r="I7" s="97"/>
      <c r="J7" s="87"/>
    </row>
    <row r="8" s="1" customFormat="1" ht="25" customHeight="1" spans="2:11">
      <c r="B8" s="88" t="s">
        <v>75</v>
      </c>
      <c r="C8" s="89"/>
      <c r="D8" s="89"/>
      <c r="E8" s="85">
        <v>4</v>
      </c>
      <c r="F8" s="90"/>
      <c r="G8" s="64"/>
      <c r="H8" s="64"/>
      <c r="I8" s="98"/>
      <c r="J8" s="99"/>
    </row>
    <row r="9" s="1" customFormat="1" ht="25" customHeight="1" spans="2:11">
      <c r="B9" s="88" t="s">
        <v>78</v>
      </c>
      <c r="C9" s="89"/>
      <c r="D9" s="89"/>
      <c r="E9" s="85">
        <v>5</v>
      </c>
      <c r="F9" s="64" t="s">
        <v>98</v>
      </c>
      <c r="G9" s="64" t="s">
        <v>98</v>
      </c>
      <c r="H9" s="64" t="s">
        <v>98</v>
      </c>
      <c r="I9" s="100" t="s">
        <v>98</v>
      </c>
      <c r="J9" s="101" t="s">
        <v>98</v>
      </c>
    </row>
    <row r="10" s="1" customFormat="1" ht="25" customHeight="1" spans="2:11">
      <c r="B10" s="88" t="s">
        <v>79</v>
      </c>
      <c r="C10" s="89"/>
      <c r="D10" s="89"/>
      <c r="E10" s="85">
        <v>6</v>
      </c>
      <c r="F10" s="90"/>
      <c r="G10" s="64"/>
      <c r="H10" s="64"/>
      <c r="I10" s="98"/>
      <c r="J10" s="99"/>
    </row>
    <row r="11" s="1" customFormat="1" ht="25" customHeight="1" spans="2:11">
      <c r="B11" s="83" t="s">
        <v>80</v>
      </c>
      <c r="C11" s="84"/>
      <c r="D11" s="84"/>
      <c r="E11" s="85">
        <v>7</v>
      </c>
      <c r="F11" s="64" t="s">
        <v>81</v>
      </c>
      <c r="G11" s="64" t="s">
        <v>81</v>
      </c>
      <c r="H11" s="64" t="s">
        <v>81</v>
      </c>
      <c r="I11" s="64" t="s">
        <v>81</v>
      </c>
      <c r="J11" s="99" t="s">
        <v>81</v>
      </c>
    </row>
    <row r="12" s="1" customFormat="1" ht="25" customHeight="1" spans="2:11">
      <c r="B12" s="88" t="s">
        <v>82</v>
      </c>
      <c r="C12" s="89"/>
      <c r="D12" s="89"/>
      <c r="E12" s="85">
        <v>8</v>
      </c>
      <c r="F12" s="90"/>
      <c r="G12" s="64"/>
      <c r="H12" s="64"/>
      <c r="I12" s="98"/>
      <c r="J12" s="99"/>
    </row>
    <row r="13" s="1" customFormat="1" ht="25" customHeight="1" spans="2:11">
      <c r="B13" s="88" t="s">
        <v>83</v>
      </c>
      <c r="C13" s="89"/>
      <c r="D13" s="89"/>
      <c r="E13" s="85">
        <v>9</v>
      </c>
      <c r="F13" s="90"/>
      <c r="G13" s="64"/>
      <c r="H13" s="64"/>
      <c r="I13" s="98"/>
      <c r="J13" s="99"/>
    </row>
    <row r="14" s="1" customFormat="1" ht="25" customHeight="1" spans="2:11">
      <c r="B14" s="88" t="s">
        <v>86</v>
      </c>
      <c r="C14" s="89"/>
      <c r="D14" s="89"/>
      <c r="E14" s="85">
        <v>10</v>
      </c>
      <c r="F14" s="102"/>
      <c r="G14" s="103"/>
      <c r="H14" s="104"/>
      <c r="I14" s="105"/>
      <c r="J14" s="87"/>
    </row>
    <row r="15" s="1" customFormat="1" ht="25" customHeight="1" spans="2:11">
      <c r="B15" s="88" t="s">
        <v>89</v>
      </c>
      <c r="C15" s="89"/>
      <c r="D15" s="89"/>
      <c r="E15" s="85">
        <v>11</v>
      </c>
      <c r="F15" s="102"/>
      <c r="G15" s="91"/>
      <c r="H15" s="92"/>
      <c r="I15" s="93"/>
      <c r="J15" s="87"/>
    </row>
    <row r="16" s="1" customFormat="1" ht="25" customHeight="1" spans="2:11">
      <c r="B16" s="106" t="s">
        <v>92</v>
      </c>
      <c r="C16" s="107"/>
      <c r="D16" s="107"/>
      <c r="E16" s="108">
        <v>12</v>
      </c>
      <c r="F16" s="109" t="s">
        <v>164</v>
      </c>
      <c r="G16" s="110" t="s">
        <v>164</v>
      </c>
      <c r="H16" s="110" t="s">
        <v>164</v>
      </c>
      <c r="I16" s="111" t="s">
        <v>164</v>
      </c>
      <c r="J16" s="112" t="s">
        <v>164</v>
      </c>
    </row>
  </sheetData>
  <mergeCells count="16">
    <mergeCell ref="B2:J2"/>
    <mergeCell ref="B3:G3"/>
    <mergeCell ref="H3:J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7"/>
  <sheetViews>
    <sheetView workbookViewId="0">
      <selection activeCell="K1" sqref="K1"/>
    </sheetView>
  </sheetViews>
  <sheetFormatPr defaultColWidth="8.72727272727273" defaultRowHeight="14"/>
  <cols>
    <col min="1" max="3" width="8.72727272727273" style="1"/>
    <col min="4" max="4" width="13.4545454545455" style="1" customWidth="1"/>
    <col min="5" max="5" width="8.72727272727273" style="1"/>
    <col min="6" max="12" width="12.3636363636364" style="1" customWidth="1"/>
    <col min="13" max="16384" width="8.72727272727273" style="1"/>
  </cols>
  <sheetData>
    <row r="1" s="1" customFormat="1" spans="2:12">
      <c r="K1" s="2" t="str">
        <f>HYPERLINK("#目录!A1","点击返回")</f>
        <v>点击返回</v>
      </c>
    </row>
    <row r="2" s="1" customFormat="1" ht="34" customHeight="1" spans="2:12">
      <c r="B2" s="48" t="s">
        <v>213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="1" customFormat="1" ht="26" customHeight="1" spans="2:12">
      <c r="B3" s="50" t="s">
        <v>207</v>
      </c>
      <c r="C3" s="50"/>
      <c r="D3" s="50"/>
      <c r="E3" s="50"/>
      <c r="F3" s="50"/>
      <c r="G3" s="51"/>
      <c r="H3" s="52" t="s">
        <v>151</v>
      </c>
      <c r="I3" s="52"/>
      <c r="J3" s="52"/>
      <c r="K3" s="52"/>
      <c r="L3" s="52"/>
    </row>
    <row r="4" s="1" customFormat="1" ht="26" customHeight="1" spans="2:12">
      <c r="B4" s="53" t="s">
        <v>70</v>
      </c>
      <c r="C4" s="54"/>
      <c r="D4" s="54"/>
      <c r="E4" s="54" t="s">
        <v>9</v>
      </c>
      <c r="F4" s="55" t="s">
        <v>156</v>
      </c>
      <c r="G4" s="55"/>
      <c r="H4" s="55"/>
      <c r="I4" s="55"/>
      <c r="J4" s="55"/>
      <c r="K4" s="55"/>
      <c r="L4" s="56"/>
    </row>
    <row r="5" s="1" customFormat="1" ht="26" customHeight="1" spans="2:12">
      <c r="B5" s="57"/>
      <c r="C5" s="58"/>
      <c r="D5" s="58"/>
      <c r="E5" s="58"/>
      <c r="F5" s="58" t="s">
        <v>53</v>
      </c>
      <c r="G5" s="59" t="s">
        <v>54</v>
      </c>
      <c r="H5" s="59" t="s">
        <v>55</v>
      </c>
      <c r="I5" s="59" t="s">
        <v>56</v>
      </c>
      <c r="J5" s="60" t="s">
        <v>57</v>
      </c>
      <c r="K5" s="60" t="s">
        <v>58</v>
      </c>
      <c r="L5" s="61" t="s">
        <v>59</v>
      </c>
    </row>
    <row r="6" s="1" customFormat="1" ht="26" customHeight="1" spans="2:12">
      <c r="B6" s="62" t="s">
        <v>71</v>
      </c>
      <c r="C6" s="63"/>
      <c r="D6" s="63"/>
      <c r="E6" s="58">
        <v>1</v>
      </c>
      <c r="F6" s="64"/>
      <c r="G6" s="64"/>
      <c r="H6" s="64"/>
      <c r="I6" s="64"/>
      <c r="J6" s="64"/>
      <c r="K6" s="64"/>
      <c r="L6" s="65"/>
    </row>
    <row r="7" s="1" customFormat="1" ht="26" customHeight="1" spans="2:12">
      <c r="B7" s="66" t="s">
        <v>73</v>
      </c>
      <c r="C7" s="67"/>
      <c r="D7" s="67"/>
      <c r="E7" s="58">
        <v>2</v>
      </c>
      <c r="F7" s="64"/>
      <c r="G7" s="64"/>
      <c r="H7" s="64"/>
      <c r="I7" s="64"/>
      <c r="J7" s="68"/>
      <c r="K7" s="68"/>
      <c r="L7" s="69"/>
    </row>
    <row r="8" s="1" customFormat="1" ht="26" customHeight="1" spans="2:12">
      <c r="B8" s="66" t="s">
        <v>74</v>
      </c>
      <c r="C8" s="67"/>
      <c r="D8" s="67"/>
      <c r="E8" s="58">
        <v>3</v>
      </c>
      <c r="F8" s="64"/>
      <c r="G8" s="64"/>
      <c r="H8" s="64"/>
      <c r="I8" s="64"/>
      <c r="J8" s="68"/>
      <c r="K8" s="68"/>
      <c r="L8" s="69"/>
    </row>
    <row r="9" s="1" customFormat="1" ht="26" customHeight="1" spans="2:12">
      <c r="B9" s="66" t="s">
        <v>75</v>
      </c>
      <c r="C9" s="67"/>
      <c r="D9" s="67"/>
      <c r="E9" s="58">
        <v>4</v>
      </c>
      <c r="F9" s="64"/>
      <c r="G9" s="64"/>
      <c r="H9" s="64"/>
      <c r="I9" s="64"/>
      <c r="J9" s="68"/>
      <c r="K9" s="68"/>
      <c r="L9" s="69"/>
    </row>
    <row r="10" s="1" customFormat="1" ht="26" customHeight="1" spans="2:12">
      <c r="B10" s="66" t="s">
        <v>78</v>
      </c>
      <c r="C10" s="67"/>
      <c r="D10" s="67"/>
      <c r="E10" s="58">
        <v>5</v>
      </c>
      <c r="F10" s="64"/>
      <c r="G10" s="64"/>
      <c r="H10" s="64"/>
      <c r="I10" s="64"/>
      <c r="J10" s="68"/>
      <c r="K10" s="68"/>
      <c r="L10" s="69"/>
    </row>
    <row r="11" s="1" customFormat="1" ht="26" customHeight="1" spans="2:12">
      <c r="B11" s="66" t="s">
        <v>79</v>
      </c>
      <c r="C11" s="67"/>
      <c r="D11" s="67"/>
      <c r="E11" s="58">
        <v>6</v>
      </c>
      <c r="F11" s="64"/>
      <c r="G11" s="64"/>
      <c r="H11" s="64"/>
      <c r="I11" s="64"/>
      <c r="J11" s="68"/>
      <c r="K11" s="68"/>
      <c r="L11" s="69"/>
    </row>
    <row r="12" s="1" customFormat="1" ht="26" customHeight="1" spans="2:12">
      <c r="B12" s="62" t="s">
        <v>80</v>
      </c>
      <c r="C12" s="63"/>
      <c r="D12" s="63"/>
      <c r="E12" s="58">
        <v>7</v>
      </c>
      <c r="F12" s="64"/>
      <c r="G12" s="64"/>
      <c r="H12" s="64"/>
      <c r="I12" s="64"/>
      <c r="J12" s="64"/>
      <c r="K12" s="64"/>
      <c r="L12" s="65"/>
    </row>
    <row r="13" s="1" customFormat="1" ht="26" customHeight="1" spans="2:12">
      <c r="B13" s="66" t="s">
        <v>82</v>
      </c>
      <c r="C13" s="67"/>
      <c r="D13" s="67"/>
      <c r="E13" s="58">
        <v>8</v>
      </c>
      <c r="F13" s="64"/>
      <c r="G13" s="64"/>
      <c r="H13" s="64"/>
      <c r="I13" s="64"/>
      <c r="J13" s="68"/>
      <c r="K13" s="68"/>
      <c r="L13" s="69"/>
    </row>
    <row r="14" s="1" customFormat="1" ht="26" customHeight="1" spans="2:12">
      <c r="B14" s="66" t="s">
        <v>83</v>
      </c>
      <c r="C14" s="67"/>
      <c r="D14" s="67"/>
      <c r="E14" s="58">
        <v>9</v>
      </c>
      <c r="F14" s="64"/>
      <c r="G14" s="64"/>
      <c r="H14" s="64"/>
      <c r="I14" s="64"/>
      <c r="J14" s="68"/>
      <c r="K14" s="68"/>
      <c r="L14" s="69"/>
    </row>
    <row r="15" s="1" customFormat="1" ht="26" customHeight="1" spans="2:12">
      <c r="B15" s="66" t="s">
        <v>86</v>
      </c>
      <c r="C15" s="67"/>
      <c r="D15" s="67"/>
      <c r="E15" s="58">
        <v>10</v>
      </c>
      <c r="F15" s="64"/>
      <c r="G15" s="64"/>
      <c r="H15" s="64"/>
      <c r="I15" s="64"/>
      <c r="J15" s="68"/>
      <c r="K15" s="68"/>
      <c r="L15" s="69"/>
    </row>
    <row r="16" s="1" customFormat="1" ht="26" customHeight="1" spans="2:12">
      <c r="B16" s="66" t="s">
        <v>89</v>
      </c>
      <c r="C16" s="67"/>
      <c r="D16" s="67"/>
      <c r="E16" s="58">
        <v>11</v>
      </c>
      <c r="F16" s="64"/>
      <c r="G16" s="68"/>
      <c r="H16" s="68"/>
      <c r="I16" s="68"/>
      <c r="J16" s="68"/>
      <c r="K16" s="68"/>
      <c r="L16" s="69"/>
    </row>
    <row r="17" s="1" customFormat="1" ht="26" customHeight="1" spans="2:12">
      <c r="B17" s="70" t="s">
        <v>92</v>
      </c>
      <c r="C17" s="71"/>
      <c r="D17" s="71"/>
      <c r="E17" s="72">
        <v>12</v>
      </c>
      <c r="F17" s="73"/>
      <c r="G17" s="73"/>
      <c r="H17" s="73"/>
      <c r="I17" s="73"/>
      <c r="J17" s="73"/>
      <c r="K17" s="73"/>
      <c r="L17" s="74"/>
    </row>
  </sheetData>
  <mergeCells count="18">
    <mergeCell ref="B2:L2"/>
    <mergeCell ref="B3:F3"/>
    <mergeCell ref="H3:L3"/>
    <mergeCell ref="F4:L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E4:E5"/>
    <mergeCell ref="B4:D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4"/>
  <sheetViews>
    <sheetView workbookViewId="0">
      <selection activeCell="A1" sqref="A1"/>
    </sheetView>
  </sheetViews>
  <sheetFormatPr defaultColWidth="8.72727272727273" defaultRowHeight="14"/>
  <cols>
    <col min="1" max="3" width="8.72727272727273" style="1"/>
    <col min="4" max="4" width="13.2727272727273" style="1" customWidth="1"/>
    <col min="5" max="5" width="14.9090909090909" style="1" customWidth="1"/>
    <col min="6" max="6" width="7" style="1" customWidth="1"/>
    <col min="7" max="9" width="22.9090909090909" style="1" customWidth="1"/>
    <col min="10" max="16384" width="8.72727272727273" style="1"/>
  </cols>
  <sheetData>
    <row r="1" s="1" customFormat="1" spans="2:11">
      <c r="K1" s="2" t="str">
        <f>HYPERLINK("#目录!A1","点击返回")</f>
        <v>点击返回</v>
      </c>
    </row>
    <row r="2" s="1" customFormat="1" ht="27.5" spans="2:11">
      <c r="B2" s="3" t="s">
        <v>214</v>
      </c>
      <c r="C2" s="4"/>
      <c r="D2" s="4"/>
      <c r="E2" s="4"/>
      <c r="F2" s="4"/>
      <c r="G2" s="4"/>
      <c r="H2" s="4"/>
      <c r="I2" s="4"/>
    </row>
    <row r="3" s="1" customFormat="1" ht="26" customHeight="1" spans="2:11">
      <c r="B3" s="30" t="s">
        <v>215</v>
      </c>
      <c r="C3" s="30"/>
      <c r="D3" s="30"/>
      <c r="E3" s="30"/>
      <c r="F3" s="30"/>
      <c r="G3" s="30"/>
      <c r="H3" s="30"/>
      <c r="I3" s="8" t="s">
        <v>151</v>
      </c>
    </row>
    <row r="4" s="1" customFormat="1" ht="36" customHeight="1" spans="2:11">
      <c r="B4" s="31" t="s">
        <v>8</v>
      </c>
      <c r="C4" s="32"/>
      <c r="D4" s="32"/>
      <c r="E4" s="33"/>
      <c r="F4" s="34" t="s">
        <v>9</v>
      </c>
      <c r="G4" s="35" t="s">
        <v>11</v>
      </c>
      <c r="H4" s="35" t="s">
        <v>156</v>
      </c>
      <c r="I4" s="35" t="s">
        <v>216</v>
      </c>
    </row>
    <row r="5" s="1" customFormat="1" ht="36" customHeight="1" spans="2:11">
      <c r="B5" s="36" t="s">
        <v>217</v>
      </c>
      <c r="C5" s="36"/>
      <c r="D5" s="36"/>
      <c r="E5" s="36"/>
      <c r="F5" s="37">
        <v>11</v>
      </c>
      <c r="G5" s="38"/>
      <c r="H5" s="38"/>
      <c r="I5" s="39"/>
    </row>
    <row r="6" s="1" customFormat="1" ht="36" customHeight="1" spans="2:11">
      <c r="B6" s="40" t="s">
        <v>218</v>
      </c>
      <c r="C6" s="40"/>
      <c r="D6" s="40"/>
      <c r="E6" s="40" t="s">
        <v>15</v>
      </c>
      <c r="F6" s="41">
        <v>12</v>
      </c>
      <c r="G6" s="42"/>
      <c r="H6" s="42"/>
      <c r="I6" s="39"/>
    </row>
    <row r="7" s="1" customFormat="1" ht="36" customHeight="1" spans="2:11">
      <c r="B7" s="40"/>
      <c r="C7" s="40"/>
      <c r="D7" s="40"/>
      <c r="E7" s="40" t="s">
        <v>219</v>
      </c>
      <c r="F7" s="41">
        <v>13</v>
      </c>
      <c r="G7" s="42"/>
      <c r="H7" s="42"/>
      <c r="I7" s="39"/>
    </row>
    <row r="8" s="1" customFormat="1" ht="36" customHeight="1" spans="2:11">
      <c r="B8" s="40"/>
      <c r="C8" s="40"/>
      <c r="D8" s="40"/>
      <c r="E8" s="40" t="s">
        <v>220</v>
      </c>
      <c r="F8" s="41">
        <v>14</v>
      </c>
      <c r="G8" s="43"/>
      <c r="H8" s="44"/>
      <c r="I8" s="45"/>
    </row>
    <row r="9" s="1" customFormat="1" ht="36" customHeight="1" spans="2:11">
      <c r="B9" s="40"/>
      <c r="C9" s="40"/>
      <c r="D9" s="40"/>
      <c r="E9" s="40" t="s">
        <v>28</v>
      </c>
      <c r="F9" s="41">
        <v>15</v>
      </c>
      <c r="G9" s="42"/>
      <c r="H9" s="42"/>
      <c r="I9" s="46"/>
    </row>
    <row r="10" s="1" customFormat="1" ht="36" customHeight="1" spans="2:11">
      <c r="B10" s="40" t="s">
        <v>221</v>
      </c>
      <c r="C10" s="40"/>
      <c r="D10" s="40"/>
      <c r="E10" s="40" t="s">
        <v>219</v>
      </c>
      <c r="F10" s="41">
        <v>16</v>
      </c>
      <c r="G10" s="42"/>
      <c r="H10" s="42"/>
      <c r="I10" s="46"/>
    </row>
    <row r="11" s="1" customFormat="1" ht="36" customHeight="1" spans="2:11">
      <c r="B11" s="40" t="s">
        <v>222</v>
      </c>
      <c r="C11" s="40"/>
      <c r="D11" s="40"/>
      <c r="E11" s="40" t="s">
        <v>15</v>
      </c>
      <c r="F11" s="41">
        <v>17</v>
      </c>
      <c r="G11" s="42"/>
      <c r="H11" s="42"/>
      <c r="I11" s="46"/>
    </row>
    <row r="12" s="1" customFormat="1" ht="36" customHeight="1" spans="2:11">
      <c r="B12" s="40"/>
      <c r="C12" s="40"/>
      <c r="D12" s="40"/>
      <c r="E12" s="40" t="s">
        <v>219</v>
      </c>
      <c r="F12" s="41">
        <v>18</v>
      </c>
      <c r="G12" s="47"/>
      <c r="H12" s="47"/>
      <c r="I12" s="46"/>
    </row>
    <row r="13" s="1" customFormat="1" ht="36" customHeight="1" spans="2:11">
      <c r="B13" s="40"/>
      <c r="C13" s="40"/>
      <c r="D13" s="40"/>
      <c r="E13" s="40" t="s">
        <v>223</v>
      </c>
      <c r="F13" s="41">
        <v>19</v>
      </c>
      <c r="G13" s="47"/>
      <c r="H13" s="47"/>
      <c r="I13" s="46"/>
    </row>
    <row r="14" s="1" customFormat="1" ht="36" customHeight="1" spans="2:11">
      <c r="B14" s="40"/>
      <c r="C14" s="40"/>
      <c r="D14" s="40"/>
      <c r="E14" s="40" t="s">
        <v>28</v>
      </c>
      <c r="F14" s="41">
        <v>20</v>
      </c>
      <c r="G14" s="47"/>
      <c r="H14" s="47"/>
      <c r="I14" s="46"/>
    </row>
  </sheetData>
  <mergeCells count="7">
    <mergeCell ref="B2:I2"/>
    <mergeCell ref="B3:H3"/>
    <mergeCell ref="B4:E4"/>
    <mergeCell ref="B5:E5"/>
    <mergeCell ref="B10:D10"/>
    <mergeCell ref="B6:D9"/>
    <mergeCell ref="B11:D14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8"/>
  <sheetViews>
    <sheetView tabSelected="1" workbookViewId="0">
      <selection activeCell="B18" sqref="B18:M18"/>
    </sheetView>
  </sheetViews>
  <sheetFormatPr defaultColWidth="8.72727272727273" defaultRowHeight="14"/>
  <cols>
    <col min="1" max="4" width="8.72727272727273" style="1"/>
    <col min="5" max="5" width="11.0909090909091" style="1" customWidth="1"/>
    <col min="6" max="6" width="6.27272727272727" style="1" customWidth="1"/>
    <col min="7" max="13" width="13.8181818181818" style="1" customWidth="1"/>
    <col min="14" max="16384" width="8.72727272727273" style="1"/>
  </cols>
  <sheetData>
    <row r="1" s="1" customFormat="1" spans="2:13">
      <c r="K1" s="2" t="str">
        <f>HYPERLINK("#目录!A1","点击返回")</f>
        <v>点击返回</v>
      </c>
    </row>
    <row r="2" s="1" customFormat="1" ht="27.5" spans="2:13">
      <c r="B2" s="3" t="s">
        <v>224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="1" customFormat="1" ht="30" customHeight="1" spans="2:13">
      <c r="B3" s="5" t="s">
        <v>149</v>
      </c>
      <c r="C3" s="6" t="s">
        <v>150</v>
      </c>
      <c r="D3" s="6"/>
      <c r="E3" s="6"/>
      <c r="F3" s="6"/>
      <c r="G3" s="6"/>
      <c r="H3" s="7"/>
      <c r="I3" s="7"/>
      <c r="J3" s="7"/>
      <c r="K3" s="7"/>
      <c r="L3" s="7"/>
      <c r="M3" s="8" t="s">
        <v>151</v>
      </c>
    </row>
    <row r="4" s="1" customFormat="1" ht="27" customHeight="1" spans="2:13">
      <c r="B4" s="9" t="s">
        <v>225</v>
      </c>
      <c r="C4" s="10"/>
      <c r="D4" s="10"/>
      <c r="E4" s="10"/>
      <c r="F4" s="11" t="s">
        <v>9</v>
      </c>
      <c r="G4" s="12" t="s">
        <v>226</v>
      </c>
      <c r="H4" s="12"/>
      <c r="I4" s="12"/>
      <c r="J4" s="12"/>
      <c r="K4" s="12"/>
      <c r="L4" s="12"/>
      <c r="M4" s="12"/>
    </row>
    <row r="5" s="1" customFormat="1" ht="27" customHeight="1" spans="2:13">
      <c r="B5" s="13"/>
      <c r="C5" s="14"/>
      <c r="D5" s="14"/>
      <c r="E5" s="14"/>
      <c r="F5" s="11"/>
      <c r="G5" s="15" t="s">
        <v>53</v>
      </c>
      <c r="H5" s="15" t="s">
        <v>54</v>
      </c>
      <c r="I5" s="15" t="s">
        <v>227</v>
      </c>
      <c r="J5" s="15" t="s">
        <v>228</v>
      </c>
      <c r="K5" s="15" t="s">
        <v>229</v>
      </c>
      <c r="L5" s="15" t="s">
        <v>230</v>
      </c>
      <c r="M5" s="15" t="s">
        <v>231</v>
      </c>
    </row>
    <row r="6" s="1" customFormat="1" ht="27" customHeight="1" spans="2:13">
      <c r="B6" s="16" t="s">
        <v>217</v>
      </c>
      <c r="C6" s="17"/>
      <c r="D6" s="17"/>
      <c r="E6" s="17"/>
      <c r="F6" s="18">
        <v>11</v>
      </c>
      <c r="G6" s="19"/>
      <c r="H6" s="19"/>
      <c r="I6" s="19"/>
      <c r="J6" s="19"/>
      <c r="K6" s="19"/>
      <c r="L6" s="19"/>
      <c r="M6" s="19"/>
    </row>
    <row r="7" s="1" customFormat="1" ht="27" customHeight="1" spans="2:13">
      <c r="B7" s="20" t="s">
        <v>218</v>
      </c>
      <c r="C7" s="21"/>
      <c r="D7" s="21"/>
      <c r="E7" s="21" t="s">
        <v>15</v>
      </c>
      <c r="F7" s="22">
        <v>12</v>
      </c>
      <c r="G7" s="19"/>
      <c r="H7" s="19"/>
      <c r="I7" s="19"/>
      <c r="J7" s="19"/>
      <c r="K7" s="19"/>
      <c r="L7" s="19"/>
      <c r="M7" s="19"/>
    </row>
    <row r="8" s="1" customFormat="1" ht="27" customHeight="1" spans="2:13">
      <c r="B8" s="20"/>
      <c r="C8" s="21"/>
      <c r="D8" s="21"/>
      <c r="E8" s="21" t="s">
        <v>219</v>
      </c>
      <c r="F8" s="22">
        <v>13</v>
      </c>
      <c r="G8" s="19"/>
      <c r="H8" s="19"/>
      <c r="I8" s="19"/>
      <c r="J8" s="19"/>
      <c r="K8" s="19"/>
      <c r="L8" s="19"/>
      <c r="M8" s="19"/>
    </row>
    <row r="9" s="1" customFormat="1" ht="27" customHeight="1" spans="2:13">
      <c r="B9" s="20"/>
      <c r="C9" s="21"/>
      <c r="D9" s="21"/>
      <c r="E9" s="21" t="s">
        <v>220</v>
      </c>
      <c r="F9" s="22">
        <v>14</v>
      </c>
      <c r="G9" s="19"/>
      <c r="H9" s="19"/>
      <c r="I9" s="19"/>
      <c r="J9" s="19"/>
      <c r="K9" s="19"/>
      <c r="L9" s="19"/>
      <c r="M9" s="19"/>
    </row>
    <row r="10" s="1" customFormat="1" ht="27" customHeight="1" spans="2:13">
      <c r="B10" s="20"/>
      <c r="C10" s="21"/>
      <c r="D10" s="21"/>
      <c r="E10" s="21" t="s">
        <v>28</v>
      </c>
      <c r="F10" s="22">
        <v>15</v>
      </c>
      <c r="G10" s="19"/>
      <c r="H10" s="23"/>
      <c r="I10" s="23"/>
      <c r="J10" s="23"/>
      <c r="K10" s="23"/>
      <c r="L10" s="23"/>
      <c r="M10" s="23"/>
    </row>
    <row r="11" s="1" customFormat="1" ht="27" customHeight="1" spans="2:13">
      <c r="B11" s="20" t="s">
        <v>221</v>
      </c>
      <c r="C11" s="21"/>
      <c r="D11" s="21"/>
      <c r="E11" s="21" t="s">
        <v>219</v>
      </c>
      <c r="F11" s="22">
        <v>16</v>
      </c>
      <c r="G11" s="19"/>
      <c r="H11" s="23"/>
      <c r="I11" s="23"/>
      <c r="J11" s="23"/>
      <c r="K11" s="23"/>
      <c r="L11" s="23"/>
      <c r="M11" s="19"/>
    </row>
    <row r="12" s="1" customFormat="1" ht="27" customHeight="1" spans="2:13">
      <c r="B12" s="20" t="s">
        <v>222</v>
      </c>
      <c r="C12" s="21"/>
      <c r="D12" s="21"/>
      <c r="E12" s="21" t="s">
        <v>15</v>
      </c>
      <c r="F12" s="22">
        <v>17</v>
      </c>
      <c r="G12" s="19"/>
      <c r="H12" s="19"/>
      <c r="I12" s="19"/>
      <c r="J12" s="19"/>
      <c r="K12" s="19"/>
      <c r="L12" s="19"/>
      <c r="M12" s="19"/>
    </row>
    <row r="13" s="1" customFormat="1" ht="27" customHeight="1" spans="2:13">
      <c r="B13" s="20"/>
      <c r="C13" s="21"/>
      <c r="D13" s="21"/>
      <c r="E13" s="21" t="s">
        <v>219</v>
      </c>
      <c r="F13" s="22">
        <v>18</v>
      </c>
      <c r="G13" s="19"/>
      <c r="H13" s="19"/>
      <c r="I13" s="19"/>
      <c r="J13" s="19"/>
      <c r="K13" s="19"/>
      <c r="L13" s="19"/>
      <c r="M13" s="19"/>
    </row>
    <row r="14" s="1" customFormat="1" ht="27" customHeight="1" spans="2:13">
      <c r="B14" s="20"/>
      <c r="C14" s="21"/>
      <c r="D14" s="21"/>
      <c r="E14" s="21" t="s">
        <v>223</v>
      </c>
      <c r="F14" s="22">
        <v>19</v>
      </c>
      <c r="G14" s="19"/>
      <c r="H14" s="19"/>
      <c r="I14" s="19"/>
      <c r="J14" s="19"/>
      <c r="K14" s="19"/>
      <c r="L14" s="19"/>
      <c r="M14" s="19"/>
    </row>
    <row r="15" s="1" customFormat="1" ht="27" customHeight="1" spans="2:13">
      <c r="B15" s="24"/>
      <c r="C15" s="25"/>
      <c r="D15" s="25"/>
      <c r="E15" s="25" t="s">
        <v>28</v>
      </c>
      <c r="F15" s="26">
        <v>20</v>
      </c>
      <c r="G15" s="19"/>
      <c r="H15" s="19"/>
      <c r="I15" s="19"/>
      <c r="J15" s="19"/>
      <c r="K15" s="19"/>
      <c r="L15" s="19"/>
      <c r="M15" s="19"/>
    </row>
    <row r="17" ht="31" customHeight="1" spans="2:13">
      <c r="B17" s="27" t="s">
        <v>232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ht="52" customHeight="1" spans="2:13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</sheetData>
  <mergeCells count="11">
    <mergeCell ref="B2:M2"/>
    <mergeCell ref="C3:G3"/>
    <mergeCell ref="G4:M4"/>
    <mergeCell ref="B6:E6"/>
    <mergeCell ref="B11:D11"/>
    <mergeCell ref="B17:M17"/>
    <mergeCell ref="B18:M18"/>
    <mergeCell ref="F4:F5"/>
    <mergeCell ref="B4:E5"/>
    <mergeCell ref="B7:D10"/>
    <mergeCell ref="B12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目录</vt:lpstr>
      <vt:lpstr>住房公积金资金使用预算总表</vt:lpstr>
      <vt:lpstr>住房公积金资金使用预算附表</vt:lpstr>
      <vt:lpstr>住房公积金业务收支预算总表</vt:lpstr>
      <vt:lpstr>住房公积金业务收支预算附表</vt:lpstr>
      <vt:lpstr>住房公积金资金使用预算执行情况表</vt:lpstr>
      <vt:lpstr>住房公积金业务收支预算执行情况表</vt:lpstr>
      <vt:lpstr>住房公积金扩面工作完成情况表</vt:lpstr>
      <vt:lpstr>住房公积金归集使用决算总表</vt:lpstr>
      <vt:lpstr>住房公积金归集使用决算附表</vt:lpstr>
      <vt:lpstr>住房公积金业务收支决算总表</vt:lpstr>
      <vt:lpstr>住房公积金业务收支决算附表</vt:lpstr>
      <vt:lpstr>住房公积金增值收益分配情况总表</vt:lpstr>
      <vt:lpstr>住房公积金增值收益分配情附表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zhaowei4357</dc:creator>
  <cp:lastModifiedBy>赵伟</cp:lastModifiedBy>
  <dcterms:created xsi:type="dcterms:W3CDTF">2026-05-28T08:11:00Z</dcterms:created>
  <dcterms:modified xsi:type="dcterms:W3CDTF">2026-05-30T07:41:23Z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97E154C8F7914000A2330B270053C206_11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